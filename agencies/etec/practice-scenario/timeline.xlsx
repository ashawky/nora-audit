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Dependencies" sheetId="2" state="visible" r:id="rId2"/>
    <sheet xmlns:r="http://schemas.openxmlformats.org/officeDocument/2006/relationships" name="Timeline-Gantt" sheetId="3" state="visible" r:id="rId3"/>
    <sheet xmlns:r="http://schemas.openxmlformats.org/officeDocument/2006/relationships" name="Critical-Path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DGA-Coverage" sheetId="6" state="visible" r:id="rId6"/>
    <sheet xmlns:r="http://schemas.openxmlformats.org/officeDocument/2006/relationships" name="Heatmap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2EFDA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4B084"/>
      </patternFill>
    </fill>
    <fill>
      <patternFill patternType="solid">
        <fgColor rgb="00D9D9D9"/>
      </patternFill>
    </fill>
    <fill>
      <patternFill patternType="solid">
        <fgColor rgb="008FAADC"/>
      </patternFill>
    </fill>
    <fill>
      <patternFill patternType="solid">
        <fgColor rgb="00FFEBE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 vertical="center" wrapText="1" readingOrder="2"/>
    </xf>
    <xf numFmtId="0" fontId="0" fillId="4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7" borderId="1" applyAlignment="1" pivotButton="0" quotePrefix="0" xfId="0">
      <alignment horizontal="right" vertical="center" wrapText="1" readingOrder="2"/>
    </xf>
    <xf numFmtId="0" fontId="2" fillId="0" borderId="0" pivotButton="0" quotePrefix="0" xfId="0"/>
    <xf numFmtId="0" fontId="0" fillId="13" borderId="1" pivotButton="0" quotePrefix="0" xfId="0"/>
    <xf numFmtId="0" fontId="0" fillId="13" borderId="1" applyAlignment="1" pivotButton="0" quotePrefix="0" xfId="0">
      <alignment horizontal="right" vertical="center" wrapText="1" readingOrder="2"/>
    </xf>
    <xf numFmtId="165" fontId="0" fillId="13" borderId="1" pivotButton="0" quotePrefix="0" xfId="0"/>
    <xf numFmtId="165" fontId="2" fillId="0" borderId="0" pivotButton="0" quotePrefix="0" xfId="0"/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17" customWidth="1" min="3" max="3"/>
    <col width="10" customWidth="1" min="4" max="4"/>
    <col width="11" customWidth="1" min="5" max="5"/>
    <col width="17" customWidth="1" min="6" max="6"/>
    <col width="12" customWidth="1" min="7" max="7"/>
    <col width="12" customWidth="1" min="8" max="8"/>
    <col width="15" customWidth="1" min="9" max="9"/>
    <col width="16" customWidth="1" min="10" max="10"/>
    <col width="28" customWidth="1" min="11" max="11"/>
    <col width="11" customWidth="1" min="12" max="12"/>
    <col width="50" customWidth="1" min="13" max="13"/>
    <col width="16" customWidth="1" min="14" max="14"/>
    <col width="16" customWidth="1" min="15" max="15"/>
    <col width="26" customWidth="1" min="16" max="16"/>
    <col width="25" customWidth="1" min="17" max="17"/>
    <col width="60" customWidth="1" min="18" max="18"/>
  </cols>
  <sheetData>
    <row r="1">
      <c r="A1" s="1" t="inlineStr">
        <is>
          <t>id</t>
        </is>
      </c>
      <c r="B1" s="1" t="inlineStr">
        <is>
          <t>name_ar</t>
        </is>
      </c>
      <c r="C1" s="1" t="inlineStr">
        <is>
          <t>phase</t>
        </is>
      </c>
      <c r="D1" s="1" t="inlineStr">
        <is>
          <t>level</t>
        </is>
      </c>
      <c r="E1" s="1" t="inlineStr">
        <is>
          <t>parent_id</t>
        </is>
      </c>
      <c r="F1" s="1" t="inlineStr">
        <is>
          <t>period_label_ar</t>
        </is>
      </c>
      <c r="G1" s="1" t="inlineStr">
        <is>
          <t>start_date</t>
        </is>
      </c>
      <c r="H1" s="1" t="inlineStr">
        <is>
          <t>end_date</t>
        </is>
      </c>
      <c r="I1" s="1" t="inlineStr">
        <is>
          <t>duration_days</t>
        </is>
      </c>
      <c r="J1" s="1" t="inlineStr">
        <is>
          <t>duration_check</t>
        </is>
      </c>
      <c r="K1" s="1" t="inlineStr">
        <is>
          <t>dependencies</t>
        </is>
      </c>
      <c r="L1" s="1" t="inlineStr">
        <is>
          <t>dga_phase</t>
        </is>
      </c>
      <c r="M1" s="1" t="inlineStr">
        <is>
          <t>deliverable_ids</t>
        </is>
      </c>
      <c r="N1" s="1" t="inlineStr">
        <is>
          <t>evidence_count</t>
        </is>
      </c>
      <c r="O1" s="1" t="inlineStr">
        <is>
          <t>adjustment_ref</t>
        </is>
      </c>
      <c r="P1" s="1" t="inlineStr">
        <is>
          <t>role_in_scenario</t>
        </is>
      </c>
      <c r="Q1" s="1" t="inlineStr">
        <is>
          <t>status</t>
        </is>
      </c>
      <c r="R1" s="1" t="inlineStr">
        <is>
          <t>notes_ar</t>
        </is>
      </c>
    </row>
    <row r="2">
      <c r="A2" s="2" t="inlineStr">
        <is>
          <t>T-F01</t>
        </is>
      </c>
      <c r="B2" s="3" t="inlineStr">
        <is>
          <t>تأسيس الوحدة التنظيمية للبنية المؤسسية</t>
        </is>
      </c>
      <c r="C2" s="4" t="inlineStr">
        <is>
          <t>foundation</t>
        </is>
      </c>
      <c r="D2" s="2" t="inlineStr">
        <is>
          <t>parent</t>
        </is>
      </c>
      <c r="E2" s="2" t="inlineStr"/>
      <c r="F2" s="3" t="inlineStr"/>
      <c r="G2" s="5" t="n">
        <v>45474</v>
      </c>
      <c r="H2" s="5" t="n">
        <v>45657</v>
      </c>
      <c r="I2" s="2" t="n">
        <v>184</v>
      </c>
      <c r="J2" s="2">
        <f>H2-G2</f>
        <v/>
      </c>
      <c r="K2" s="2" t="inlineStr"/>
      <c r="L2" s="2" t="inlineStr">
        <is>
          <t>A</t>
        </is>
      </c>
      <c r="M2" s="2" t="inlineStr">
        <is>
          <t>DEL-DEC-001, DEL-DEC-002, DEL-DOC-001, DEL-DOC-003, DEL-DOC-004, DEL-DOC-005, DEL-DOC-006, DEL-DOC-007, DEL-DOC-008, DEL-DOC-009, DEL-DOC-011, DEL-DOC-012, DEL-DOC-013, DEL-DOC-014, DEL-DOC-018</t>
        </is>
      </c>
      <c r="N2" s="2" t="n">
        <v>0</v>
      </c>
      <c r="O2" s="2" t="inlineStr">
        <is>
          <t>أ</t>
        </is>
      </c>
      <c r="P2" s="2" t="inlineStr">
        <is>
          <t>foundation</t>
        </is>
      </c>
      <c r="Q2" s="6" t="inlineStr">
        <is>
          <t>completed</t>
        </is>
      </c>
      <c r="R2" s="3" t="inlineStr">
        <is>
          <t>Parent task؛ يجمع المهام الفرعية T-F01.1 إلى T-F01.7. Evidence مفصَّلة على مستوى المهام الفرعية.</t>
        </is>
      </c>
    </row>
    <row r="3">
      <c r="A3" s="2" t="inlineStr">
        <is>
          <t>T-F01.1</t>
        </is>
      </c>
      <c r="B3" s="3" t="inlineStr">
        <is>
          <t>تشكيل فريق البنية المؤسسية</t>
        </is>
      </c>
      <c r="C3" s="4" t="inlineStr">
        <is>
          <t>foundation</t>
        </is>
      </c>
      <c r="D3" s="2" t="inlineStr">
        <is>
          <t>sub</t>
        </is>
      </c>
      <c r="E3" s="2" t="inlineStr">
        <is>
          <t>T-F01</t>
        </is>
      </c>
      <c r="F3" s="3" t="inlineStr"/>
      <c r="G3" s="5" t="n">
        <v>45505</v>
      </c>
      <c r="H3" s="5" t="n">
        <v>45565</v>
      </c>
      <c r="I3" s="2" t="n">
        <v>60</v>
      </c>
      <c r="J3" s="2">
        <f>H3-G3</f>
        <v/>
      </c>
      <c r="K3" s="2" t="inlineStr"/>
      <c r="L3" s="2" t="inlineStr">
        <is>
          <t>A</t>
        </is>
      </c>
      <c r="M3" s="2" t="inlineStr">
        <is>
          <t>DEL-DEC-001</t>
        </is>
      </c>
      <c r="N3" s="2" t="n">
        <v>1</v>
      </c>
      <c r="O3" s="2" t="inlineStr">
        <is>
          <t>أ</t>
        </is>
      </c>
      <c r="P3" s="2" t="inlineStr">
        <is>
          <t>governance</t>
        </is>
      </c>
      <c r="Q3" s="6" t="inlineStr">
        <is>
          <t>completed</t>
        </is>
      </c>
      <c r="R3" s="3" t="inlineStr"/>
    </row>
    <row r="4">
      <c r="A4" s="2" t="inlineStr">
        <is>
          <t>T-F01.2</t>
        </is>
      </c>
      <c r="B4" s="3" t="inlineStr">
        <is>
          <t>تعيين مدير قسم البنية المؤسسية (كبير المهندسين)</t>
        </is>
      </c>
      <c r="C4" s="4" t="inlineStr">
        <is>
          <t>foundation</t>
        </is>
      </c>
      <c r="D4" s="2" t="inlineStr">
        <is>
          <t>sub</t>
        </is>
      </c>
      <c r="E4" s="2" t="inlineStr">
        <is>
          <t>T-F01</t>
        </is>
      </c>
      <c r="F4" s="3" t="inlineStr"/>
      <c r="G4" s="5" t="n">
        <v>45536</v>
      </c>
      <c r="H4" s="5" t="n">
        <v>45596</v>
      </c>
      <c r="I4" s="2" t="n">
        <v>60</v>
      </c>
      <c r="J4" s="2">
        <f>H4-G4</f>
        <v/>
      </c>
      <c r="K4" s="2" t="inlineStr">
        <is>
          <t>T-F01.1</t>
        </is>
      </c>
      <c r="L4" s="2" t="inlineStr">
        <is>
          <t>A</t>
        </is>
      </c>
      <c r="M4" s="2" t="inlineStr">
        <is>
          <t>DEL-DEC-002</t>
        </is>
      </c>
      <c r="N4" s="2" t="n">
        <v>1</v>
      </c>
      <c r="O4" s="2" t="inlineStr">
        <is>
          <t>أ</t>
        </is>
      </c>
      <c r="P4" s="2" t="inlineStr">
        <is>
          <t>governance</t>
        </is>
      </c>
      <c r="Q4" s="6" t="inlineStr">
        <is>
          <t>completed</t>
        </is>
      </c>
      <c r="R4" s="3" t="inlineStr"/>
    </row>
    <row r="5">
      <c r="A5" s="2" t="inlineStr">
        <is>
          <t>T-F01.3</t>
        </is>
      </c>
      <c r="B5" s="3" t="inlineStr">
        <is>
          <t>اعتماد الاستراتيجيات المرجعية للهيئة (الأعمال + الأمن السيبراني)</t>
        </is>
      </c>
      <c r="C5" s="4" t="inlineStr">
        <is>
          <t>foundation</t>
        </is>
      </c>
      <c r="D5" s="2" t="inlineStr">
        <is>
          <t>sub</t>
        </is>
      </c>
      <c r="E5" s="2" t="inlineStr">
        <is>
          <t>T-F01</t>
        </is>
      </c>
      <c r="F5" s="3" t="inlineStr"/>
      <c r="G5" s="5" t="n">
        <v>45474</v>
      </c>
      <c r="H5" s="5" t="n">
        <v>45565</v>
      </c>
      <c r="I5" s="2" t="n">
        <v>92</v>
      </c>
      <c r="J5" s="2">
        <f>H5-G5</f>
        <v/>
      </c>
      <c r="K5" s="2" t="inlineStr"/>
      <c r="L5" s="2" t="inlineStr">
        <is>
          <t>A</t>
        </is>
      </c>
      <c r="M5" s="2" t="inlineStr">
        <is>
          <t>DEL-DOC-001, DEL-DOC-003</t>
        </is>
      </c>
      <c r="N5" s="2" t="n">
        <v>3</v>
      </c>
      <c r="O5" s="2" t="inlineStr">
        <is>
          <t>أ</t>
        </is>
      </c>
      <c r="P5" s="2" t="inlineStr">
        <is>
          <t>foundation</t>
        </is>
      </c>
      <c r="Q5" s="6" t="inlineStr">
        <is>
          <t>completed</t>
        </is>
      </c>
      <c r="R5" s="3" t="inlineStr">
        <is>
          <t>DOC-02 (الاستراتيجية الرقمية للبيانات 2026-2028) تخرج من هذه المهمة وتُؤطَّر في T-CT-01 (Nov 2025) لأنها cycle_2 trigger.</t>
        </is>
      </c>
    </row>
    <row r="6">
      <c r="A6" s="2" t="inlineStr">
        <is>
          <t>T-F01.4</t>
        </is>
      </c>
      <c r="B6" s="3" t="inlineStr">
        <is>
          <t>إعداد استراتيجية البنية المؤسسية (v1)</t>
        </is>
      </c>
      <c r="C6" s="4" t="inlineStr">
        <is>
          <t>foundation</t>
        </is>
      </c>
      <c r="D6" s="2" t="inlineStr">
        <is>
          <t>sub</t>
        </is>
      </c>
      <c r="E6" s="2" t="inlineStr">
        <is>
          <t>T-F01</t>
        </is>
      </c>
      <c r="F6" s="3" t="inlineStr"/>
      <c r="G6" s="5" t="n">
        <v>45536</v>
      </c>
      <c r="H6" s="5" t="n">
        <v>45657</v>
      </c>
      <c r="I6" s="2" t="n">
        <v>122</v>
      </c>
      <c r="J6" s="2">
        <f>H6-G6</f>
        <v/>
      </c>
      <c r="K6" s="2" t="inlineStr">
        <is>
          <t>T-F01.1, T-F01.3</t>
        </is>
      </c>
      <c r="L6" s="2" t="inlineStr">
        <is>
          <t>A</t>
        </is>
      </c>
      <c r="M6" s="2" t="inlineStr">
        <is>
          <t>DEL-DOC-004</t>
        </is>
      </c>
      <c r="N6" s="2" t="n">
        <v>1</v>
      </c>
      <c r="O6" s="2" t="inlineStr">
        <is>
          <t>أ</t>
        </is>
      </c>
      <c r="P6" s="2" t="inlineStr">
        <is>
          <t>foundation</t>
        </is>
      </c>
      <c r="Q6" s="6" t="inlineStr">
        <is>
          <t>completed</t>
        </is>
      </c>
      <c r="R6" s="3" t="inlineStr">
        <is>
          <t>النسخة v1 — النسخة v2 المعدَّلة بناءً على Digital Strategy 2026-2028 ستُنتَج في T-CT-05 (Jan 2026).</t>
        </is>
      </c>
    </row>
    <row r="7">
      <c r="A7" s="2" t="inlineStr">
        <is>
          <t>T-F01.5</t>
        </is>
      </c>
      <c r="B7" s="3" t="inlineStr">
        <is>
          <t>اعتماد الهيكل التنظيمي للوحدة (للهيئة + للتحول الرقمي)</t>
        </is>
      </c>
      <c r="C7" s="4" t="inlineStr">
        <is>
          <t>foundation</t>
        </is>
      </c>
      <c r="D7" s="2" t="inlineStr">
        <is>
          <t>sub</t>
        </is>
      </c>
      <c r="E7" s="2" t="inlineStr">
        <is>
          <t>T-F01</t>
        </is>
      </c>
      <c r="F7" s="3" t="inlineStr"/>
      <c r="G7" s="5" t="n">
        <v>45536</v>
      </c>
      <c r="H7" s="5" t="n">
        <v>45657</v>
      </c>
      <c r="I7" s="2" t="n">
        <v>122</v>
      </c>
      <c r="J7" s="2">
        <f>H7-G7</f>
        <v/>
      </c>
      <c r="K7" s="2" t="inlineStr">
        <is>
          <t>T-F01.2</t>
        </is>
      </c>
      <c r="L7" s="2" t="inlineStr">
        <is>
          <t>A</t>
        </is>
      </c>
      <c r="M7" s="2" t="inlineStr">
        <is>
          <t>DEL-DOC-005</t>
        </is>
      </c>
      <c r="N7" s="2" t="n">
        <v>2</v>
      </c>
      <c r="O7" s="2" t="inlineStr">
        <is>
          <t>أ</t>
        </is>
      </c>
      <c r="P7" s="2" t="inlineStr">
        <is>
          <t>foundation</t>
        </is>
      </c>
      <c r="Q7" s="6" t="inlineStr">
        <is>
          <t>completed</t>
        </is>
      </c>
      <c r="R7" s="3" t="inlineStr"/>
    </row>
    <row r="8">
      <c r="A8" s="2" t="inlineStr">
        <is>
          <t>T-F01.6</t>
        </is>
      </c>
      <c r="B8" s="3" t="inlineStr">
        <is>
          <t>إعداد الوثائق التأطيرية (سياسة + مبادئ + مناظير + نماذج مرجعية)</t>
        </is>
      </c>
      <c r="C8" s="4" t="inlineStr">
        <is>
          <t>foundation</t>
        </is>
      </c>
      <c r="D8" s="2" t="inlineStr">
        <is>
          <t>sub</t>
        </is>
      </c>
      <c r="E8" s="2" t="inlineStr">
        <is>
          <t>T-F01</t>
        </is>
      </c>
      <c r="F8" s="3" t="inlineStr"/>
      <c r="G8" s="5" t="n">
        <v>45566</v>
      </c>
      <c r="H8" s="5" t="n">
        <v>45657</v>
      </c>
      <c r="I8" s="2" t="n">
        <v>92</v>
      </c>
      <c r="J8" s="2">
        <f>H8-G8</f>
        <v/>
      </c>
      <c r="K8" s="2" t="inlineStr">
        <is>
          <t>T-F01.4</t>
        </is>
      </c>
      <c r="L8" s="2" t="inlineStr">
        <is>
          <t>A</t>
        </is>
      </c>
      <c r="M8" s="2" t="inlineStr">
        <is>
          <t>DEL-DOC-006, DEL-DOC-012, DEL-DOC-014, DEL-DOC-018, DEL-DOC-013</t>
        </is>
      </c>
      <c r="N8" s="2" t="n">
        <v>6</v>
      </c>
      <c r="O8" s="2" t="inlineStr">
        <is>
          <t>أ</t>
        </is>
      </c>
      <c r="P8" s="2" t="inlineStr">
        <is>
          <t>foundation</t>
        </is>
      </c>
      <c r="Q8" s="6" t="inlineStr">
        <is>
          <t>completed</t>
        </is>
      </c>
      <c r="R8" s="3" t="inlineStr">
        <is>
          <t>DOC-13 (النموذج العام لمكونات) ضُمَّ هنا لأنه وثيقة مرجعية لا تخص دورة محددة.</t>
        </is>
      </c>
    </row>
    <row r="9">
      <c r="A9" s="2" t="inlineStr">
        <is>
          <t>T-F01.7</t>
        </is>
      </c>
      <c r="B9" s="3" t="inlineStr">
        <is>
          <t>إعداد النموذج التشغيلي + الخطة التشغيلية + خطط التوعية والتدريب</t>
        </is>
      </c>
      <c r="C9" s="4" t="inlineStr">
        <is>
          <t>foundation</t>
        </is>
      </c>
      <c r="D9" s="2" t="inlineStr">
        <is>
          <t>sub</t>
        </is>
      </c>
      <c r="E9" s="2" t="inlineStr">
        <is>
          <t>T-F01</t>
        </is>
      </c>
      <c r="F9" s="3" t="inlineStr"/>
      <c r="G9" s="5" t="n">
        <v>45597</v>
      </c>
      <c r="H9" s="5" t="n">
        <v>45657</v>
      </c>
      <c r="I9" s="2" t="n">
        <v>61</v>
      </c>
      <c r="J9" s="2">
        <f>H9-G9</f>
        <v/>
      </c>
      <c r="K9" s="2" t="inlineStr">
        <is>
          <t>T-F01.6</t>
        </is>
      </c>
      <c r="L9" s="2" t="inlineStr">
        <is>
          <t>A</t>
        </is>
      </c>
      <c r="M9" s="2" t="inlineStr">
        <is>
          <t>DEL-DOC-007, DEL-DOC-008, DEL-DOC-009, DEL-DOC-011</t>
        </is>
      </c>
      <c r="N9" s="2" t="n">
        <v>4</v>
      </c>
      <c r="O9" s="2" t="inlineStr">
        <is>
          <t>أ</t>
        </is>
      </c>
      <c r="P9" s="2" t="inlineStr">
        <is>
          <t>foundation</t>
        </is>
      </c>
      <c r="Q9" s="6" t="inlineStr">
        <is>
          <t>completed</t>
        </is>
      </c>
      <c r="R9" s="3" t="inlineStr">
        <is>
          <t>الخطة التشغيلية v2 (ETEC-FILE-011) تتطور في cycle 1 — التحديثات تظهر ضمنيًا في T-C1-* operational tasks.</t>
        </is>
      </c>
    </row>
    <row r="10">
      <c r="A10" s="2" t="inlineStr">
        <is>
          <t>T-C1-01</t>
        </is>
      </c>
      <c r="B10" s="3" t="inlineStr">
        <is>
          <t>تحليل الوضع الحالي (الأعمال + التطبيقات + البيانات)</t>
        </is>
      </c>
      <c r="C10" s="7" t="inlineStr">
        <is>
          <t>cycle_1</t>
        </is>
      </c>
      <c r="D10" s="2" t="inlineStr">
        <is>
          <t>task</t>
        </is>
      </c>
      <c r="E10" s="2" t="inlineStr"/>
      <c r="F10" s="3" t="inlineStr"/>
      <c r="G10" s="5" t="n">
        <v>45658</v>
      </c>
      <c r="H10" s="5" t="n">
        <v>45777</v>
      </c>
      <c r="I10" s="2" t="n">
        <v>120</v>
      </c>
      <c r="J10" s="2">
        <f>H10-G10</f>
        <v/>
      </c>
      <c r="K10" s="2" t="inlineStr">
        <is>
          <t>T-F01.4, T-F01.6</t>
        </is>
      </c>
      <c r="L10" s="2" t="inlineStr">
        <is>
          <t>C</t>
        </is>
      </c>
      <c r="M10" s="2" t="inlineStr">
        <is>
          <t>DEL-DOC-017</t>
        </is>
      </c>
      <c r="N10" s="2" t="n">
        <v>3</v>
      </c>
      <c r="O10" s="2" t="inlineStr">
        <is>
          <t>ب</t>
        </is>
      </c>
      <c r="P10" s="2" t="inlineStr">
        <is>
          <t>cycle-1-as-is</t>
        </is>
      </c>
      <c r="Q10" s="8" t="inlineStr">
        <is>
          <t>completed-no-formal-doc</t>
        </is>
      </c>
      <c r="R10" s="3" t="inlineStr">
        <is>
          <t>AS-IS تمت لـ 3 domains (Business + Apps + Data). Technology domain لا يوجد له وثيقة AS-IS منفصلة. ميثاق الدورة (DOC-16) ووثيقة الدورة (DOC-17 الموحدة) تُولَّدان رجعيًا في M3+M4.</t>
        </is>
      </c>
    </row>
    <row r="11">
      <c r="A11" s="2" t="inlineStr">
        <is>
          <t>T-C1-02</t>
        </is>
      </c>
      <c r="B11" s="3" t="inlineStr">
        <is>
          <t>تحديد الوضع المستقبلي (الأعمال + التطبيقات + البيانات + التكنولوجيا)</t>
        </is>
      </c>
      <c r="C11" s="7" t="inlineStr">
        <is>
          <t>cycle_1</t>
        </is>
      </c>
      <c r="D11" s="2" t="inlineStr">
        <is>
          <t>task</t>
        </is>
      </c>
      <c r="E11" s="2" t="inlineStr"/>
      <c r="F11" s="3" t="inlineStr"/>
      <c r="G11" s="5" t="n">
        <v>45689</v>
      </c>
      <c r="H11" s="5" t="n">
        <v>45777</v>
      </c>
      <c r="I11" s="2" t="n">
        <v>89</v>
      </c>
      <c r="J11" s="2">
        <f>H11-G11</f>
        <v/>
      </c>
      <c r="K11" s="2" t="inlineStr">
        <is>
          <t>T-C1-01</t>
        </is>
      </c>
      <c r="L11" s="2" t="inlineStr">
        <is>
          <t>C</t>
        </is>
      </c>
      <c r="M11" s="2" t="inlineStr">
        <is>
          <t>DEL-DOC-017</t>
        </is>
      </c>
      <c r="N11" s="2" t="n">
        <v>4</v>
      </c>
      <c r="O11" s="2" t="inlineStr">
        <is>
          <t>ب</t>
        </is>
      </c>
      <c r="P11" s="2" t="inlineStr">
        <is>
          <t>cycle-1-to-be</t>
        </is>
      </c>
      <c r="Q11" s="8" t="inlineStr">
        <is>
          <t>completed-no-formal-doc</t>
        </is>
      </c>
      <c r="R11" s="3" t="inlineStr">
        <is>
          <t>TO-BE تمت لـ 4 domains (Business + Apps + Data + Tech). ETEC-FILE-022 اسمه إنجليزي (TargetState Technology3.pptx) لكن المحتوى يخدم Technology TO-BE — confidence=low في intake.</t>
        </is>
      </c>
    </row>
    <row r="12">
      <c r="A12" s="2" t="inlineStr">
        <is>
          <t>T-C1-03</t>
        </is>
      </c>
      <c r="B12" s="3" t="inlineStr">
        <is>
          <t>تحليل الفجوات</t>
        </is>
      </c>
      <c r="C12" s="7" t="inlineStr">
        <is>
          <t>cycle_1</t>
        </is>
      </c>
      <c r="D12" s="2" t="inlineStr">
        <is>
          <t>task</t>
        </is>
      </c>
      <c r="E12" s="2" t="inlineStr"/>
      <c r="F12" s="3" t="inlineStr"/>
      <c r="G12" s="5" t="n">
        <v>45748</v>
      </c>
      <c r="H12" s="5" t="n">
        <v>45777</v>
      </c>
      <c r="I12" s="2" t="n">
        <v>30</v>
      </c>
      <c r="J12" s="2">
        <f>H12-G12</f>
        <v/>
      </c>
      <c r="K12" s="2" t="inlineStr">
        <is>
          <t>T-C1-01, T-C1-02</t>
        </is>
      </c>
      <c r="L12" s="2" t="inlineStr">
        <is>
          <t>D</t>
        </is>
      </c>
      <c r="M12" s="2" t="inlineStr">
        <is>
          <t>DEL-DOC-017</t>
        </is>
      </c>
      <c r="N12" s="2" t="n">
        <v>1</v>
      </c>
      <c r="O12" s="2" t="inlineStr">
        <is>
          <t>ب</t>
        </is>
      </c>
      <c r="P12" s="2" t="inlineStr">
        <is>
          <t>cycle-1-gap</t>
        </is>
      </c>
      <c r="Q12" s="8" t="inlineStr">
        <is>
          <t>completed-no-formal-doc</t>
        </is>
      </c>
      <c r="R12" s="3" t="inlineStr">
        <is>
          <t>وثيقة فجوات موحدة عبر domains. ميثاق دورة 1 (DOC-16) سيؤطر هذه الفجوات رسميًا في M4.</t>
        </is>
      </c>
    </row>
    <row r="13">
      <c r="A13" s="2" t="inlineStr">
        <is>
          <t>T-C1-04</t>
        </is>
      </c>
      <c r="B13" s="3" t="inlineStr">
        <is>
          <t>تطوير خارطة طريق التحول الرقمي</t>
        </is>
      </c>
      <c r="C13" s="7" t="inlineStr">
        <is>
          <t>cycle_1</t>
        </is>
      </c>
      <c r="D13" s="2" t="inlineStr">
        <is>
          <t>task</t>
        </is>
      </c>
      <c r="E13" s="2" t="inlineStr"/>
      <c r="F13" s="3" t="inlineStr"/>
      <c r="G13" s="5" t="n">
        <v>45778</v>
      </c>
      <c r="H13" s="5" t="n">
        <v>45869</v>
      </c>
      <c r="I13" s="2" t="n">
        <v>92</v>
      </c>
      <c r="J13" s="2">
        <f>H13-G13</f>
        <v/>
      </c>
      <c r="K13" s="2" t="inlineStr">
        <is>
          <t>T-C1-03</t>
        </is>
      </c>
      <c r="L13" s="2" t="inlineStr">
        <is>
          <t>E</t>
        </is>
      </c>
      <c r="M13" s="2" t="inlineStr">
        <is>
          <t>DEL-DOC-019</t>
        </is>
      </c>
      <c r="N13" s="2" t="n">
        <v>2</v>
      </c>
      <c r="O13" s="2" t="inlineStr"/>
      <c r="P13" s="2" t="inlineStr">
        <is>
          <t>operational</t>
        </is>
      </c>
      <c r="Q13" s="6" t="inlineStr">
        <is>
          <t>completed</t>
        </is>
      </c>
      <c r="R13" s="3" t="inlineStr">
        <is>
          <t>خارطة الطريق V1.0 — ستُحدَّث V1.1+ في cycle 2 بناءً على Digital Strategy 2026-2028.</t>
        </is>
      </c>
    </row>
    <row r="14">
      <c r="A14" s="2" t="inlineStr">
        <is>
          <t>T-C1-05</t>
        </is>
      </c>
      <c r="B14" s="3" t="inlineStr">
        <is>
          <t>إصدار وثيقة متطلبات البنية المؤسسية + سجل المتطلبات</t>
        </is>
      </c>
      <c r="C14" s="7" t="inlineStr">
        <is>
          <t>cycle_1</t>
        </is>
      </c>
      <c r="D14" s="2" t="inlineStr">
        <is>
          <t>task</t>
        </is>
      </c>
      <c r="E14" s="2" t="inlineStr"/>
      <c r="F14" s="3" t="inlineStr"/>
      <c r="G14" s="5" t="n">
        <v>45748</v>
      </c>
      <c r="H14" s="5" t="n">
        <v>45869</v>
      </c>
      <c r="I14" s="2" t="n">
        <v>122</v>
      </c>
      <c r="J14" s="2">
        <f>H14-G14</f>
        <v/>
      </c>
      <c r="K14" s="2" t="inlineStr">
        <is>
          <t>T-C1-03</t>
        </is>
      </c>
      <c r="L14" s="2" t="inlineStr">
        <is>
          <t>B</t>
        </is>
      </c>
      <c r="M14" s="2" t="inlineStr">
        <is>
          <t>DEL-DOC-020</t>
        </is>
      </c>
      <c r="N14" s="2" t="n">
        <v>2</v>
      </c>
      <c r="O14" s="2" t="inlineStr"/>
      <c r="P14" s="2" t="inlineStr">
        <is>
          <t>operational</t>
        </is>
      </c>
      <c r="Q14" s="6" t="inlineStr">
        <is>
          <t>completed</t>
        </is>
      </c>
      <c r="R14" s="3" t="inlineStr"/>
    </row>
    <row r="15">
      <c r="A15" s="2" t="inlineStr">
        <is>
          <t>T-C1-06</t>
        </is>
      </c>
      <c r="B15" s="3" t="inlineStr">
        <is>
          <t>تنفيذ خطة التوعية (ورش + فيديوهات + نشرات + استبيانات)</t>
        </is>
      </c>
      <c r="C15" s="7" t="inlineStr">
        <is>
          <t>cycle_1</t>
        </is>
      </c>
      <c r="D15" s="2" t="inlineStr">
        <is>
          <t>task</t>
        </is>
      </c>
      <c r="E15" s="2" t="inlineStr"/>
      <c r="F15" s="3" t="inlineStr"/>
      <c r="G15" s="5" t="n">
        <v>45717</v>
      </c>
      <c r="H15" s="5" t="n">
        <v>46022</v>
      </c>
      <c r="I15" s="2" t="n">
        <v>306</v>
      </c>
      <c r="J15" s="2">
        <f>H15-G15</f>
        <v/>
      </c>
      <c r="K15" s="2" t="inlineStr">
        <is>
          <t>T-F01.7</t>
        </is>
      </c>
      <c r="L15" s="2" t="inlineStr">
        <is>
          <t>F</t>
        </is>
      </c>
      <c r="M15" s="2" t="inlineStr">
        <is>
          <t>DEL-EVI-002</t>
        </is>
      </c>
      <c r="N15" s="2" t="n">
        <v>9</v>
      </c>
      <c r="O15" s="2" t="inlineStr"/>
      <c r="P15" s="2" t="inlineStr">
        <is>
          <t>awareness-implementation</t>
        </is>
      </c>
      <c r="Q15" s="6" t="inlineStr">
        <is>
          <t>completed</t>
        </is>
      </c>
      <c r="R15" s="3" t="inlineStr">
        <is>
          <t>تنفيذ خطة التوعية DOC-09. evidence_files تشمل 9 ملفات تمثيلية (ورش × 3 + فيديوهات × 2 + استبيانات × 3 + نشرة × 1). إجمالي evidence في الـ inbox = 20 ملف (بقية النشرات في EVI-02/النشرات-التوعوية/ETEC-2-* و ETEC-3-*).</t>
        </is>
      </c>
    </row>
    <row r="16">
      <c r="A16" s="2" t="inlineStr">
        <is>
          <t>T-C1-07</t>
        </is>
      </c>
      <c r="B16" s="3" t="inlineStr">
        <is>
          <t>تنفيذ خطة التدريب (شهادات TOGAF Foundation للأعضاء)</t>
        </is>
      </c>
      <c r="C16" s="7" t="inlineStr">
        <is>
          <t>cycle_1</t>
        </is>
      </c>
      <c r="D16" s="2" t="inlineStr">
        <is>
          <t>task</t>
        </is>
      </c>
      <c r="E16" s="2" t="inlineStr"/>
      <c r="F16" s="3" t="inlineStr"/>
      <c r="G16" s="5" t="n">
        <v>45658</v>
      </c>
      <c r="H16" s="5" t="n">
        <v>45930</v>
      </c>
      <c r="I16" s="2" t="n">
        <v>273</v>
      </c>
      <c r="J16" s="2">
        <f>H16-G16</f>
        <v/>
      </c>
      <c r="K16" s="2" t="inlineStr">
        <is>
          <t>T-F01.7</t>
        </is>
      </c>
      <c r="L16" s="2" t="inlineStr">
        <is>
          <t>F</t>
        </is>
      </c>
      <c r="M16" s="2" t="inlineStr">
        <is>
          <t>DEL-EVI-001</t>
        </is>
      </c>
      <c r="N16" s="2" t="n">
        <v>5</v>
      </c>
      <c r="O16" s="2" t="inlineStr"/>
      <c r="P16" s="2" t="inlineStr">
        <is>
          <t>training-implementation</t>
        </is>
      </c>
      <c r="Q16" s="6" t="inlineStr">
        <is>
          <t>completed</t>
        </is>
      </c>
      <c r="R16" s="3" t="inlineStr">
        <is>
          <t>11 شهادة فردية للأعضاء + شهادة عامة + جدول ورشة الخبراء. evidence_files تشمل عينات تمثيلية — التفاصيل الكاملة في intake (12 ملف EVI-01).</t>
        </is>
      </c>
    </row>
    <row r="17">
      <c r="A17" s="2" t="inlineStr">
        <is>
          <t>T-C1-08</t>
        </is>
      </c>
      <c r="B17" s="3" t="inlineStr">
        <is>
          <t>إصدار التقارير الربعية لـ 2025 (Q1–Q4)</t>
        </is>
      </c>
      <c r="C17" s="7" t="inlineStr">
        <is>
          <t>cycle_1</t>
        </is>
      </c>
      <c r="D17" s="2" t="inlineStr">
        <is>
          <t>task</t>
        </is>
      </c>
      <c r="E17" s="2" t="inlineStr"/>
      <c r="F17" s="3" t="inlineStr"/>
      <c r="G17" s="5" t="n">
        <v>45748</v>
      </c>
      <c r="H17" s="5" t="n">
        <v>46053</v>
      </c>
      <c r="I17" s="2" t="n">
        <v>305</v>
      </c>
      <c r="J17" s="2">
        <f>H17-G17</f>
        <v/>
      </c>
      <c r="K17" s="2" t="inlineStr">
        <is>
          <t>T-F01.7</t>
        </is>
      </c>
      <c r="L17" s="2" t="inlineStr">
        <is>
          <t>F</t>
        </is>
      </c>
      <c r="M17" s="2" t="inlineStr">
        <is>
          <t>DEL-RPT-002</t>
        </is>
      </c>
      <c r="N17" s="2" t="n">
        <v>4</v>
      </c>
      <c r="O17" s="2" t="inlineStr"/>
      <c r="P17" s="2" t="inlineStr">
        <is>
          <t>operational</t>
        </is>
      </c>
      <c r="Q17" s="6" t="inlineStr">
        <is>
          <t>completed</t>
        </is>
      </c>
      <c r="R17" s="3" t="inlineStr">
        <is>
          <t>4 تقارير ربعية متتابعة. periodic=quarterly.</t>
        </is>
      </c>
    </row>
    <row r="18">
      <c r="A18" s="2" t="inlineStr">
        <is>
          <t>T-C1-09</t>
        </is>
      </c>
      <c r="B18" s="3" t="inlineStr">
        <is>
          <t>تقرير إغلاق الدورة الأولى</t>
        </is>
      </c>
      <c r="C18" s="7" t="inlineStr">
        <is>
          <t>cycle_1</t>
        </is>
      </c>
      <c r="D18" s="2" t="inlineStr">
        <is>
          <t>task</t>
        </is>
      </c>
      <c r="E18" s="2" t="inlineStr"/>
      <c r="F18" s="3" t="inlineStr"/>
      <c r="G18" s="5" t="n">
        <v>45870</v>
      </c>
      <c r="H18" s="5" t="n">
        <v>45930</v>
      </c>
      <c r="I18" s="2" t="n">
        <v>60</v>
      </c>
      <c r="J18" s="2">
        <f>H18-G18</f>
        <v/>
      </c>
      <c r="K18" s="2" t="inlineStr">
        <is>
          <t>T-C1-04, T-C1-05</t>
        </is>
      </c>
      <c r="L18" s="2" t="inlineStr">
        <is>
          <t>F</t>
        </is>
      </c>
      <c r="M18" s="2" t="inlineStr">
        <is>
          <t>DEL-RPT-004</t>
        </is>
      </c>
      <c r="N18" s="2" t="n">
        <v>0</v>
      </c>
      <c r="O18" s="2" t="inlineStr">
        <is>
          <t>ج</t>
        </is>
      </c>
      <c r="P18" s="2" t="inlineStr">
        <is>
          <t>cycle-1-closure</t>
        </is>
      </c>
      <c r="Q18" s="9" t="inlineStr">
        <is>
          <t>PENDING-M3</t>
        </is>
      </c>
      <c r="R18" s="3" t="inlineStr">
        <is>
          <t>RPT-04 (تقرير انتهاء دورة) — يُولَّد في M3 بناءً على نتائج cycle 1 + شواهد التنفيذ. مطلوب قبل cycle 2 launch.</t>
        </is>
      </c>
    </row>
    <row r="19">
      <c r="A19" s="2" t="inlineStr">
        <is>
          <t>T-CT-01</t>
        </is>
      </c>
      <c r="B19" s="3" t="inlineStr">
        <is>
          <t>إصدار الخطة الاستراتيجية للبيانات والتحول الرقمي 2026-2028</t>
        </is>
      </c>
      <c r="C19" s="10" t="inlineStr">
        <is>
          <t>cycle_2_trigger</t>
        </is>
      </c>
      <c r="D19" s="2" t="inlineStr">
        <is>
          <t>task</t>
        </is>
      </c>
      <c r="E19" s="2" t="inlineStr"/>
      <c r="F19" s="3" t="inlineStr"/>
      <c r="G19" s="5" t="n">
        <v>45962</v>
      </c>
      <c r="H19" s="5" t="n">
        <v>45991</v>
      </c>
      <c r="I19" s="2" t="n">
        <v>30</v>
      </c>
      <c r="J19" s="2">
        <f>H19-G19</f>
        <v/>
      </c>
      <c r="K19" s="2" t="inlineStr"/>
      <c r="L19" s="2" t="inlineStr">
        <is>
          <t>external</t>
        </is>
      </c>
      <c r="M19" s="2" t="inlineStr">
        <is>
          <t>DEL-DOC-002</t>
        </is>
      </c>
      <c r="N19" s="2" t="n">
        <v>1</v>
      </c>
      <c r="O19" s="2" t="inlineStr">
        <is>
          <t>د</t>
        </is>
      </c>
      <c r="P19" s="2" t="inlineStr">
        <is>
          <t>cycle-2-trigger</t>
        </is>
      </c>
      <c r="Q19" s="6" t="inlineStr">
        <is>
          <t>completed</t>
        </is>
      </c>
      <c r="R19" s="3" t="inlineStr">
        <is>
          <t>حدث محوري — يُحرك سلسلة T-CT-02..T-CT-06 لإطلاق دورة 2.</t>
        </is>
      </c>
    </row>
    <row r="20">
      <c r="A20" s="2" t="inlineStr">
        <is>
          <t>T-CT-02</t>
        </is>
      </c>
      <c r="B20" s="3" t="inlineStr">
        <is>
          <t>محضر اعتماد الاستراتيجية الجديدة</t>
        </is>
      </c>
      <c r="C20" s="10" t="inlineStr">
        <is>
          <t>cycle_2_trigger</t>
        </is>
      </c>
      <c r="D20" s="2" t="inlineStr">
        <is>
          <t>task</t>
        </is>
      </c>
      <c r="E20" s="2" t="inlineStr"/>
      <c r="F20" s="3" t="inlineStr"/>
      <c r="G20" s="5" t="n">
        <v>45976</v>
      </c>
      <c r="H20" s="5" t="n">
        <v>45991</v>
      </c>
      <c r="I20" s="2" t="n">
        <v>15</v>
      </c>
      <c r="J20" s="2">
        <f>H20-G20</f>
        <v/>
      </c>
      <c r="K20" s="2" t="inlineStr">
        <is>
          <t>T-CT-01</t>
        </is>
      </c>
      <c r="L20" s="2" t="inlineStr">
        <is>
          <t>A</t>
        </is>
      </c>
      <c r="M20" s="2" t="inlineStr">
        <is>
          <t>DEL-MIN-001</t>
        </is>
      </c>
      <c r="N20" s="2" t="n">
        <v>0</v>
      </c>
      <c r="O20" s="2" t="inlineStr">
        <is>
          <t>د</t>
        </is>
      </c>
      <c r="P20" s="2" t="inlineStr">
        <is>
          <t>cycle-2-trigger</t>
        </is>
      </c>
      <c r="Q20" s="9" t="inlineStr">
        <is>
          <t>PENDING-M3</t>
        </is>
      </c>
      <c r="R20" s="3" t="inlineStr">
        <is>
          <t>MIN-01 (محاضر اعتماد مخرجات ممارسة البنية المؤسسية) — يُولَّد في M3.</t>
        </is>
      </c>
    </row>
    <row r="21">
      <c r="A21" s="2" t="inlineStr">
        <is>
          <t>T-CT-03</t>
        </is>
      </c>
      <c r="B21" s="3" t="inlineStr">
        <is>
          <t>تقرير دراسة أثر التغيير على متطلبات البنية المؤسسية</t>
        </is>
      </c>
      <c r="C21" s="10" t="inlineStr">
        <is>
          <t>cycle_2_trigger</t>
        </is>
      </c>
      <c r="D21" s="2" t="inlineStr">
        <is>
          <t>task</t>
        </is>
      </c>
      <c r="E21" s="2" t="inlineStr"/>
      <c r="F21" s="3" t="inlineStr"/>
      <c r="G21" s="5" t="n">
        <v>45992</v>
      </c>
      <c r="H21" s="5" t="n">
        <v>46022</v>
      </c>
      <c r="I21" s="2" t="n">
        <v>30</v>
      </c>
      <c r="J21" s="2">
        <f>H21-G21</f>
        <v/>
      </c>
      <c r="K21" s="2" t="inlineStr">
        <is>
          <t>T-CT-01</t>
        </is>
      </c>
      <c r="L21" s="2" t="inlineStr">
        <is>
          <t>B</t>
        </is>
      </c>
      <c r="M21" s="2" t="inlineStr">
        <is>
          <t>DEL-RPT-007</t>
        </is>
      </c>
      <c r="N21" s="2" t="n">
        <v>0</v>
      </c>
      <c r="O21" s="2" t="inlineStr"/>
      <c r="P21" s="2" t="inlineStr">
        <is>
          <t>cycle-2-trigger</t>
        </is>
      </c>
      <c r="Q21" s="9" t="inlineStr">
        <is>
          <t>PENDING-M3</t>
        </is>
      </c>
      <c r="R21" s="3" t="inlineStr">
        <is>
          <t>RPT-07 — يبرر إطلاق دورة 2 من زاوية المتطلبات.</t>
        </is>
      </c>
    </row>
    <row r="22">
      <c r="A22" s="2" t="inlineStr">
        <is>
          <t>T-CT-04</t>
        </is>
      </c>
      <c r="B22" s="3" t="inlineStr">
        <is>
          <t>تقرير دراسة أثر التغيير على مبادئ البنية المؤسسية</t>
        </is>
      </c>
      <c r="C22" s="10" t="inlineStr">
        <is>
          <t>cycle_2_trigger</t>
        </is>
      </c>
      <c r="D22" s="2" t="inlineStr">
        <is>
          <t>task</t>
        </is>
      </c>
      <c r="E22" s="2" t="inlineStr"/>
      <c r="F22" s="3" t="inlineStr"/>
      <c r="G22" s="5" t="n">
        <v>45992</v>
      </c>
      <c r="H22" s="5" t="n">
        <v>46022</v>
      </c>
      <c r="I22" s="2" t="n">
        <v>30</v>
      </c>
      <c r="J22" s="2">
        <f>H22-G22</f>
        <v/>
      </c>
      <c r="K22" s="2" t="inlineStr">
        <is>
          <t>T-CT-01</t>
        </is>
      </c>
      <c r="L22" s="2" t="inlineStr">
        <is>
          <t>B</t>
        </is>
      </c>
      <c r="M22" s="2" t="inlineStr">
        <is>
          <t>DEL-RPT-008</t>
        </is>
      </c>
      <c r="N22" s="2" t="n">
        <v>0</v>
      </c>
      <c r="O22" s="2" t="inlineStr"/>
      <c r="P22" s="2" t="inlineStr">
        <is>
          <t>cycle-2-trigger</t>
        </is>
      </c>
      <c r="Q22" s="9" t="inlineStr">
        <is>
          <t>PENDING-M3</t>
        </is>
      </c>
      <c r="R22" s="3" t="inlineStr">
        <is>
          <t>RPT-08 — يبرر إطلاق دورة 2 من زاوية المبادئ.</t>
        </is>
      </c>
    </row>
    <row r="23">
      <c r="A23" s="2" t="inlineStr">
        <is>
          <t>T-CT-05</t>
        </is>
      </c>
      <c r="B23" s="3" t="inlineStr">
        <is>
          <t>تحديث استراتيجية البنية المؤسسية (v2)</t>
        </is>
      </c>
      <c r="C23" s="10" t="inlineStr">
        <is>
          <t>cycle_2_trigger</t>
        </is>
      </c>
      <c r="D23" s="2" t="inlineStr">
        <is>
          <t>task</t>
        </is>
      </c>
      <c r="E23" s="2" t="inlineStr"/>
      <c r="F23" s="3" t="inlineStr"/>
      <c r="G23" s="5" t="n">
        <v>46023</v>
      </c>
      <c r="H23" s="5" t="n">
        <v>46053</v>
      </c>
      <c r="I23" s="2" t="n">
        <v>30</v>
      </c>
      <c r="J23" s="2">
        <f>H23-G23</f>
        <v/>
      </c>
      <c r="K23" s="2" t="inlineStr">
        <is>
          <t>T-CT-02, T-CT-03, T-CT-04</t>
        </is>
      </c>
      <c r="L23" s="2" t="inlineStr">
        <is>
          <t>A</t>
        </is>
      </c>
      <c r="M23" s="2" t="inlineStr">
        <is>
          <t>DEL-DOC-004</t>
        </is>
      </c>
      <c r="N23" s="2" t="n">
        <v>0</v>
      </c>
      <c r="O23" s="2" t="inlineStr">
        <is>
          <t>د</t>
        </is>
      </c>
      <c r="P23" s="2" t="inlineStr">
        <is>
          <t>cycle-2-trigger</t>
        </is>
      </c>
      <c r="Q23" s="9" t="inlineStr">
        <is>
          <t>PENDING-M3</t>
        </is>
      </c>
      <c r="R23" s="3" t="inlineStr">
        <is>
          <t>النسخة v2 من DOC-04 — مكمِّلة للنسخة v1 المُنتجة في T-F01.4. تعكس التزامات Digital Strategy 2026-2028.</t>
        </is>
      </c>
    </row>
    <row r="24">
      <c r="A24" s="2" t="inlineStr">
        <is>
          <t>T-CT-06</t>
        </is>
      </c>
      <c r="B24" s="3" t="inlineStr">
        <is>
          <t>قرار إطلاق الدورة الثانية</t>
        </is>
      </c>
      <c r="C24" s="10" t="inlineStr">
        <is>
          <t>cycle_2_trigger</t>
        </is>
      </c>
      <c r="D24" s="2" t="inlineStr">
        <is>
          <t>task</t>
        </is>
      </c>
      <c r="E24" s="2" t="inlineStr"/>
      <c r="F24" s="3" t="inlineStr"/>
      <c r="G24" s="5" t="n">
        <v>46037</v>
      </c>
      <c r="H24" s="5" t="n">
        <v>46068</v>
      </c>
      <c r="I24" s="2" t="n">
        <v>31</v>
      </c>
      <c r="J24" s="2">
        <f>H24-G24</f>
        <v/>
      </c>
      <c r="K24" s="2" t="inlineStr">
        <is>
          <t>T-CT-05</t>
        </is>
      </c>
      <c r="L24" s="2" t="inlineStr">
        <is>
          <t>A</t>
        </is>
      </c>
      <c r="M24" s="2" t="inlineStr">
        <is>
          <t>DEL-MIN-001</t>
        </is>
      </c>
      <c r="N24" s="2" t="n">
        <v>0</v>
      </c>
      <c r="O24" s="2" t="inlineStr">
        <is>
          <t>د</t>
        </is>
      </c>
      <c r="P24" s="2" t="inlineStr">
        <is>
          <t>cycle-2-trigger</t>
        </is>
      </c>
      <c r="Q24" s="9" t="inlineStr">
        <is>
          <t>PENDING-M3</t>
        </is>
      </c>
      <c r="R24" s="3" t="inlineStr">
        <is>
          <t>محضر إطلاق دورة 2 — قرار رسمي من لجنة الحوكمة.</t>
        </is>
      </c>
    </row>
    <row r="25">
      <c r="A25" s="2" t="inlineStr">
        <is>
          <t>T-CT-07</t>
        </is>
      </c>
      <c r="B25" s="3" t="inlineStr">
        <is>
          <t>اجتماعات قسم البنية المؤسسية الأسبوعية (Nov 2025 – Jan 2026)</t>
        </is>
      </c>
      <c r="C25" s="10" t="inlineStr">
        <is>
          <t>cycle_2_trigger</t>
        </is>
      </c>
      <c r="D25" s="2" t="inlineStr">
        <is>
          <t>task</t>
        </is>
      </c>
      <c r="E25" s="2" t="inlineStr"/>
      <c r="F25" s="3" t="inlineStr"/>
      <c r="G25" s="5" t="n">
        <v>45977</v>
      </c>
      <c r="H25" s="5" t="n">
        <v>46048</v>
      </c>
      <c r="I25" s="2" t="n">
        <v>71</v>
      </c>
      <c r="J25" s="2">
        <f>H25-G25</f>
        <v/>
      </c>
      <c r="K25" s="2" t="inlineStr"/>
      <c r="L25" s="2" t="inlineStr">
        <is>
          <t>A</t>
        </is>
      </c>
      <c r="M25" s="2" t="inlineStr">
        <is>
          <t>DEL-MIN-002</t>
        </is>
      </c>
      <c r="N25" s="2" t="n">
        <v>12</v>
      </c>
      <c r="O25" s="2" t="inlineStr"/>
      <c r="P25" s="2" t="inlineStr">
        <is>
          <t>operational</t>
        </is>
      </c>
      <c r="Q25" s="6" t="inlineStr">
        <is>
          <t>completed</t>
        </is>
      </c>
      <c r="R25" s="3" t="inlineStr">
        <is>
          <t>12 محضر — تنسيق أسبوعي حول تحضير cycle 2. periodic=weekly.</t>
        </is>
      </c>
    </row>
    <row r="26">
      <c r="A26" s="2" t="inlineStr">
        <is>
          <t>T-C2-01</t>
        </is>
      </c>
      <c r="B26" s="3" t="inlineStr">
        <is>
          <t>إصدار ميثاق الدورة الثانية</t>
        </is>
      </c>
      <c r="C26" s="11" t="inlineStr">
        <is>
          <t>cycle_2</t>
        </is>
      </c>
      <c r="D26" s="2" t="inlineStr">
        <is>
          <t>task</t>
        </is>
      </c>
      <c r="E26" s="2" t="inlineStr"/>
      <c r="F26" s="3" t="inlineStr"/>
      <c r="G26" s="5" t="n">
        <v>46054</v>
      </c>
      <c r="H26" s="5" t="n">
        <v>46081</v>
      </c>
      <c r="I26" s="2" t="n">
        <v>28</v>
      </c>
      <c r="J26" s="2">
        <f>H26-G26</f>
        <v/>
      </c>
      <c r="K26" s="2" t="inlineStr">
        <is>
          <t>T-CT-06</t>
        </is>
      </c>
      <c r="L26" s="2" t="inlineStr">
        <is>
          <t>B</t>
        </is>
      </c>
      <c r="M26" s="2" t="inlineStr">
        <is>
          <t>DEL-DOC-016</t>
        </is>
      </c>
      <c r="N26" s="2" t="n">
        <v>0</v>
      </c>
      <c r="O26" s="2" t="inlineStr">
        <is>
          <t>ب</t>
        </is>
      </c>
      <c r="P26" s="2" t="inlineStr">
        <is>
          <t>cycle-2-charter</t>
        </is>
      </c>
      <c r="Q26" s="9" t="inlineStr">
        <is>
          <t>PENDING-M4</t>
        </is>
      </c>
      <c r="R26" s="3" t="inlineStr">
        <is>
          <t>DOC-16 (ميثاق دورة) لـ cycle 2 — schema يُبنى في M3، محتوى ETEC-specific في M4.</t>
        </is>
      </c>
    </row>
    <row r="27">
      <c r="A27" s="2" t="inlineStr">
        <is>
          <t>T-C2-02</t>
        </is>
      </c>
      <c r="B27" s="3" t="inlineStr">
        <is>
          <t>إعادة محاذاة الوضع المستقبلي للبنية المؤسسية</t>
        </is>
      </c>
      <c r="C27" s="11" t="inlineStr">
        <is>
          <t>cycle_2</t>
        </is>
      </c>
      <c r="D27" s="2" t="inlineStr">
        <is>
          <t>task</t>
        </is>
      </c>
      <c r="E27" s="2" t="inlineStr"/>
      <c r="F27" s="3" t="inlineStr"/>
      <c r="G27" s="5" t="n">
        <v>46068</v>
      </c>
      <c r="H27" s="5" t="n">
        <v>46142</v>
      </c>
      <c r="I27" s="2" t="n">
        <v>75</v>
      </c>
      <c r="J27" s="2">
        <f>H27-G27</f>
        <v/>
      </c>
      <c r="K27" s="2" t="inlineStr">
        <is>
          <t>T-CT-05, T-C2-01</t>
        </is>
      </c>
      <c r="L27" s="2" t="inlineStr">
        <is>
          <t>C</t>
        </is>
      </c>
      <c r="M27" s="2" t="inlineStr">
        <is>
          <t>DEL-DOC-017</t>
        </is>
      </c>
      <c r="N27" s="2" t="n">
        <v>0</v>
      </c>
      <c r="O27" s="2" t="inlineStr">
        <is>
          <t>هـ</t>
        </is>
      </c>
      <c r="P27" s="2" t="inlineStr">
        <is>
          <t>cycle-2-realignment</t>
        </is>
      </c>
      <c r="Q27" s="9" t="inlineStr">
        <is>
          <t>PENDING-M4</t>
        </is>
      </c>
      <c r="R27" s="3" t="inlineStr">
        <is>
          <t>تحديث TO-BE للـ 4 domains بناءً على Digital Strategy 2026-2028 + EA Strategy v2.</t>
        </is>
      </c>
    </row>
    <row r="28">
      <c r="A28" s="2" t="inlineStr">
        <is>
          <t>T-C2-03</t>
        </is>
      </c>
      <c r="B28" s="3" t="inlineStr">
        <is>
          <t>إعادة محاذاة خارطة الطريق</t>
        </is>
      </c>
      <c r="C28" s="11" t="inlineStr">
        <is>
          <t>cycle_2</t>
        </is>
      </c>
      <c r="D28" s="2" t="inlineStr">
        <is>
          <t>task</t>
        </is>
      </c>
      <c r="E28" s="2" t="inlineStr"/>
      <c r="F28" s="3" t="inlineStr"/>
      <c r="G28" s="5" t="n">
        <v>46113</v>
      </c>
      <c r="H28" s="5" t="n">
        <v>46173</v>
      </c>
      <c r="I28" s="2" t="n">
        <v>60</v>
      </c>
      <c r="J28" s="2">
        <f>H28-G28</f>
        <v/>
      </c>
      <c r="K28" s="2" t="inlineStr">
        <is>
          <t>T-C2-02</t>
        </is>
      </c>
      <c r="L28" s="2" t="inlineStr">
        <is>
          <t>E</t>
        </is>
      </c>
      <c r="M28" s="2" t="inlineStr">
        <is>
          <t>DEL-DOC-019</t>
        </is>
      </c>
      <c r="N28" s="2" t="n">
        <v>0</v>
      </c>
      <c r="O28" s="2" t="inlineStr"/>
      <c r="P28" s="2" t="inlineStr">
        <is>
          <t>cycle-2-realignment</t>
        </is>
      </c>
      <c r="Q28" s="9" t="inlineStr">
        <is>
          <t>PENDING-M4</t>
        </is>
      </c>
      <c r="R28" s="3" t="inlineStr">
        <is>
          <t>خارطة الطريق V1.1+ — تعكس مشاريع جديدة من Digital Strategy 2026-2028.</t>
        </is>
      </c>
    </row>
    <row r="29">
      <c r="A29" s="2" t="inlineStr">
        <is>
          <t>T-C2-04</t>
        </is>
      </c>
      <c r="B29" s="3" t="inlineStr">
        <is>
          <t>تطبيق تحسينات على وثائق التأطير (بناءً على feedback دورة 1)</t>
        </is>
      </c>
      <c r="C29" s="11" t="inlineStr">
        <is>
          <t>cycle_2</t>
        </is>
      </c>
      <c r="D29" s="2" t="inlineStr">
        <is>
          <t>task</t>
        </is>
      </c>
      <c r="E29" s="2" t="inlineStr"/>
      <c r="F29" s="3" t="inlineStr"/>
      <c r="G29" s="5" t="n">
        <v>46054</v>
      </c>
      <c r="H29" s="5" t="n">
        <v>46203</v>
      </c>
      <c r="I29" s="2" t="n">
        <v>150</v>
      </c>
      <c r="J29" s="2">
        <f>H29-G29</f>
        <v/>
      </c>
      <c r="K29" s="2" t="inlineStr">
        <is>
          <t>T-C2-01</t>
        </is>
      </c>
      <c r="L29" s="2" t="inlineStr">
        <is>
          <t>A</t>
        </is>
      </c>
      <c r="M29" s="2" t="inlineStr">
        <is>
          <t>DEL-DOC-006, DEL-DOC-012, DEL-DOC-014, DEL-DOC-018</t>
        </is>
      </c>
      <c r="N29" s="2" t="n">
        <v>0</v>
      </c>
      <c r="O29" s="2" t="inlineStr"/>
      <c r="P29" s="2" t="inlineStr">
        <is>
          <t>cycle-2-improvement</t>
        </is>
      </c>
      <c r="Q29" s="9" t="inlineStr">
        <is>
          <t>PENDING-M4</t>
        </is>
      </c>
      <c r="R29" s="3" t="inlineStr">
        <is>
          <t>تحديثات صغيرة على policies + principles + perspectives + reference models بناءً على دروس cycle 1.</t>
        </is>
      </c>
    </row>
    <row r="30">
      <c r="A30" s="2" t="inlineStr">
        <is>
          <t>T-C2-05</t>
        </is>
      </c>
      <c r="B30" s="3" t="inlineStr">
        <is>
          <t>تقرير إغلاق الدورة الثانية</t>
        </is>
      </c>
      <c r="C30" s="11" t="inlineStr">
        <is>
          <t>cycle_2</t>
        </is>
      </c>
      <c r="D30" s="2" t="inlineStr">
        <is>
          <t>task</t>
        </is>
      </c>
      <c r="E30" s="2" t="inlineStr"/>
      <c r="F30" s="3" t="inlineStr"/>
      <c r="G30" s="5" t="n">
        <v>46188</v>
      </c>
      <c r="H30" s="5" t="n">
        <v>46203</v>
      </c>
      <c r="I30" s="2" t="n">
        <v>16</v>
      </c>
      <c r="J30" s="2">
        <f>H30-G30</f>
        <v/>
      </c>
      <c r="K30" s="2" t="inlineStr">
        <is>
          <t>T-C2-02, T-C2-03, T-C2-04</t>
        </is>
      </c>
      <c r="L30" s="2" t="inlineStr">
        <is>
          <t>F</t>
        </is>
      </c>
      <c r="M30" s="2" t="inlineStr">
        <is>
          <t>DEL-RPT-004</t>
        </is>
      </c>
      <c r="N30" s="2" t="n">
        <v>0</v>
      </c>
      <c r="O30" s="2" t="inlineStr"/>
      <c r="P30" s="2" t="inlineStr">
        <is>
          <t>cycle-2-closure</t>
        </is>
      </c>
      <c r="Q30" s="9" t="inlineStr">
        <is>
          <t>PENDING-M4</t>
        </is>
      </c>
      <c r="R30" s="3" t="inlineStr">
        <is>
          <t>RPT-04 لـ cycle 2 — توثيق الإنجاز قبل التقديم.</t>
        </is>
      </c>
    </row>
    <row r="31">
      <c r="A31" s="2" t="inlineStr">
        <is>
          <t>T-SUB-01</t>
        </is>
      </c>
      <c r="B31" s="3" t="inlineStr">
        <is>
          <t>إصدار الميثاق العام لدورات تطوير مكونات البنية المؤسسية</t>
        </is>
      </c>
      <c r="C31" s="12" t="inlineStr">
        <is>
          <t>submission</t>
        </is>
      </c>
      <c r="D31" s="2" t="inlineStr">
        <is>
          <t>task</t>
        </is>
      </c>
      <c r="E31" s="2" t="inlineStr"/>
      <c r="F31" s="3" t="inlineStr"/>
      <c r="G31" s="5" t="n">
        <v>46174</v>
      </c>
      <c r="H31" s="5" t="n">
        <v>46188</v>
      </c>
      <c r="I31" s="2" t="n">
        <v>15</v>
      </c>
      <c r="J31" s="2">
        <f>H31-G31</f>
        <v/>
      </c>
      <c r="K31" s="2" t="inlineStr"/>
      <c r="L31" s="2" t="inlineStr">
        <is>
          <t>B</t>
        </is>
      </c>
      <c r="M31" s="2" t="inlineStr">
        <is>
          <t>DEL-DOC-015</t>
        </is>
      </c>
      <c r="N31" s="2" t="n">
        <v>0</v>
      </c>
      <c r="O31" s="2" t="inlineStr">
        <is>
          <t>هـ</t>
        </is>
      </c>
      <c r="P31" s="2" t="inlineStr">
        <is>
          <t>submission-charter</t>
        </is>
      </c>
      <c r="Q31" s="9" t="inlineStr">
        <is>
          <t>PENDING-M3</t>
        </is>
      </c>
      <c r="R31" s="3" t="inlineStr">
        <is>
          <t>DOC-15 (الميثاق العام) — يخدم كل دورات الممارسة (rétrospectivement لـ cycle 1 + بشكل مستقبلي لـ cycle 2). schema في M3، محتوى في M4.</t>
        </is>
      </c>
    </row>
    <row r="32">
      <c r="A32" s="2" t="inlineStr">
        <is>
          <t>T-SUB-02</t>
        </is>
      </c>
      <c r="B32" s="3" t="inlineStr">
        <is>
          <t>تجميع ملف التقديم (Submission Package)</t>
        </is>
      </c>
      <c r="C32" s="12" t="inlineStr">
        <is>
          <t>submission</t>
        </is>
      </c>
      <c r="D32" s="2" t="inlineStr">
        <is>
          <t>task</t>
        </is>
      </c>
      <c r="E32" s="2" t="inlineStr"/>
      <c r="F32" s="3" t="inlineStr"/>
      <c r="G32" s="5" t="n">
        <v>46188</v>
      </c>
      <c r="H32" s="5" t="n">
        <v>46218</v>
      </c>
      <c r="I32" s="2" t="n">
        <v>31</v>
      </c>
      <c r="J32" s="2">
        <f>H32-G32</f>
        <v/>
      </c>
      <c r="K32" s="2" t="inlineStr">
        <is>
          <t>T-SUB-01, T-C2-05, T-C1-09</t>
        </is>
      </c>
      <c r="L32" s="2" t="inlineStr">
        <is>
          <t>F</t>
        </is>
      </c>
      <c r="M32" s="2" t="inlineStr"/>
      <c r="N32" s="2" t="n">
        <v>0</v>
      </c>
      <c r="O32" s="2" t="inlineStr"/>
      <c r="P32" s="2" t="inlineStr">
        <is>
          <t>submission</t>
        </is>
      </c>
      <c r="Q32" s="13" t="inlineStr">
        <is>
          <t>PLANNED-M5</t>
        </is>
      </c>
      <c r="R32" s="3" t="inlineStr">
        <is>
          <t>تجميع submission-package/ بترتيب: 00-cover / 10-foundation / 20-cycle-1 / 30-cycle-2 / 99-evidence-map.json.</t>
        </is>
      </c>
    </row>
    <row r="33">
      <c r="A33" s="2" t="inlineStr">
        <is>
          <t>T-SUB-03</t>
        </is>
      </c>
      <c r="B33" s="3" t="inlineStr">
        <is>
          <t>التقديم الرسمي للجنة التقييم</t>
        </is>
      </c>
      <c r="C33" s="12" t="inlineStr">
        <is>
          <t>submission</t>
        </is>
      </c>
      <c r="D33" s="2" t="inlineStr">
        <is>
          <t>task</t>
        </is>
      </c>
      <c r="E33" s="2" t="inlineStr"/>
      <c r="F33" s="3" t="inlineStr"/>
      <c r="G33" s="5" t="n">
        <v>46218</v>
      </c>
      <c r="H33" s="5" t="n">
        <v>46234</v>
      </c>
      <c r="I33" s="2" t="n">
        <v>16</v>
      </c>
      <c r="J33" s="2">
        <f>H33-G33</f>
        <v/>
      </c>
      <c r="K33" s="2" t="inlineStr">
        <is>
          <t>T-SUB-02</t>
        </is>
      </c>
      <c r="L33" s="2" t="inlineStr">
        <is>
          <t>F</t>
        </is>
      </c>
      <c r="M33" s="2" t="inlineStr"/>
      <c r="N33" s="2" t="n">
        <v>0</v>
      </c>
      <c r="O33" s="2" t="inlineStr"/>
      <c r="P33" s="2" t="inlineStr">
        <is>
          <t>submission</t>
        </is>
      </c>
      <c r="Q33" s="13" t="inlineStr">
        <is>
          <t>PLANNED</t>
        </is>
      </c>
      <c r="R33" s="3" t="inlineStr">
        <is>
          <t>deadline = 2026-07-31.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12" customWidth="1" min="3" max="3"/>
    <col width="50" customWidth="1" min="4" max="4"/>
    <col width="12" customWidth="1" min="5" max="5"/>
  </cols>
  <sheetData>
    <row r="1">
      <c r="A1" s="1" t="inlineStr">
        <is>
          <t>parent_id</t>
        </is>
      </c>
      <c r="B1" s="1" t="inlineStr">
        <is>
          <t>parent_name_ar</t>
        </is>
      </c>
      <c r="C1" s="1" t="inlineStr">
        <is>
          <t>child_id</t>
        </is>
      </c>
      <c r="D1" s="1" t="inlineStr">
        <is>
          <t>child_name_ar</t>
        </is>
      </c>
      <c r="E1" s="1" t="inlineStr">
        <is>
          <t>lag_days</t>
        </is>
      </c>
    </row>
    <row r="2">
      <c r="A2" s="2" t="inlineStr">
        <is>
          <t>T-F01.1</t>
        </is>
      </c>
      <c r="B2" s="3" t="inlineStr">
        <is>
          <t>تشكيل فريق البنية المؤسسية</t>
        </is>
      </c>
      <c r="C2" s="2" t="inlineStr">
        <is>
          <t>T-F01.2</t>
        </is>
      </c>
      <c r="D2" s="3" t="inlineStr">
        <is>
          <t>تعيين مدير قسم البنية المؤسسية (كبير المهندسين)</t>
        </is>
      </c>
      <c r="E2" s="2" t="n">
        <v>0</v>
      </c>
    </row>
    <row r="3">
      <c r="A3" s="2" t="inlineStr">
        <is>
          <t>T-F01.1</t>
        </is>
      </c>
      <c r="B3" s="3" t="inlineStr">
        <is>
          <t>تشكيل فريق البنية المؤسسية</t>
        </is>
      </c>
      <c r="C3" s="2" t="inlineStr">
        <is>
          <t>T-F01.4</t>
        </is>
      </c>
      <c r="D3" s="3" t="inlineStr">
        <is>
          <t>إعداد استراتيجية البنية المؤسسية (v1)</t>
        </is>
      </c>
      <c r="E3" s="2" t="n">
        <v>0</v>
      </c>
    </row>
    <row r="4">
      <c r="A4" s="2" t="inlineStr">
        <is>
          <t>T-F01.3</t>
        </is>
      </c>
      <c r="B4" s="3" t="inlineStr">
        <is>
          <t>اعتماد الاستراتيجيات المرجعية للهيئة (الأعمال + الأمن السيبراني)</t>
        </is>
      </c>
      <c r="C4" s="2" t="inlineStr">
        <is>
          <t>T-F01.4</t>
        </is>
      </c>
      <c r="D4" s="3" t="inlineStr">
        <is>
          <t>إعداد استراتيجية البنية المؤسسية (v1)</t>
        </is>
      </c>
      <c r="E4" s="2" t="n">
        <v>0</v>
      </c>
    </row>
    <row r="5">
      <c r="A5" s="2" t="inlineStr">
        <is>
          <t>T-F01.2</t>
        </is>
      </c>
      <c r="B5" s="3" t="inlineStr">
        <is>
          <t>تعيين مدير قسم البنية المؤسسية (كبير المهندسين)</t>
        </is>
      </c>
      <c r="C5" s="2" t="inlineStr">
        <is>
          <t>T-F01.5</t>
        </is>
      </c>
      <c r="D5" s="3" t="inlineStr">
        <is>
          <t>اعتماد الهيكل التنظيمي للوحدة (للهيئة + للتحول الرقمي)</t>
        </is>
      </c>
      <c r="E5" s="2" t="n">
        <v>0</v>
      </c>
    </row>
    <row r="6">
      <c r="A6" s="2" t="inlineStr">
        <is>
          <t>T-F01.4</t>
        </is>
      </c>
      <c r="B6" s="3" t="inlineStr">
        <is>
          <t>إعداد استراتيجية البنية المؤسسية (v1)</t>
        </is>
      </c>
      <c r="C6" s="2" t="inlineStr">
        <is>
          <t>T-F01.6</t>
        </is>
      </c>
      <c r="D6" s="3" t="inlineStr">
        <is>
          <t>إعداد الوثائق التأطيرية (سياسة + مبادئ + مناظير + نماذج مرجعية)</t>
        </is>
      </c>
      <c r="E6" s="2" t="n">
        <v>0</v>
      </c>
    </row>
    <row r="7">
      <c r="A7" s="2" t="inlineStr">
        <is>
          <t>T-F01.6</t>
        </is>
      </c>
      <c r="B7" s="3" t="inlineStr">
        <is>
          <t>إعداد الوثائق التأطيرية (سياسة + مبادئ + مناظير + نماذج مرجعية)</t>
        </is>
      </c>
      <c r="C7" s="2" t="inlineStr">
        <is>
          <t>T-F01.7</t>
        </is>
      </c>
      <c r="D7" s="3" t="inlineStr">
        <is>
          <t>إعداد النموذج التشغيلي + الخطة التشغيلية + خطط التوعية والتدريب</t>
        </is>
      </c>
      <c r="E7" s="2" t="n">
        <v>0</v>
      </c>
    </row>
    <row r="8">
      <c r="A8" s="2" t="inlineStr">
        <is>
          <t>T-F01.4</t>
        </is>
      </c>
      <c r="B8" s="3" t="inlineStr">
        <is>
          <t>إعداد استراتيجية البنية المؤسسية (v1)</t>
        </is>
      </c>
      <c r="C8" s="2" t="inlineStr">
        <is>
          <t>T-C1-01</t>
        </is>
      </c>
      <c r="D8" s="3" t="inlineStr">
        <is>
          <t>تحليل الوضع الحالي (الأعمال + التطبيقات + البيانات)</t>
        </is>
      </c>
      <c r="E8" s="2" t="n">
        <v>0</v>
      </c>
    </row>
    <row r="9">
      <c r="A9" s="2" t="inlineStr">
        <is>
          <t>T-F01.6</t>
        </is>
      </c>
      <c r="B9" s="3" t="inlineStr">
        <is>
          <t>إعداد الوثائق التأطيرية (سياسة + مبادئ + مناظير + نماذج مرجعية)</t>
        </is>
      </c>
      <c r="C9" s="2" t="inlineStr">
        <is>
          <t>T-C1-01</t>
        </is>
      </c>
      <c r="D9" s="3" t="inlineStr">
        <is>
          <t>تحليل الوضع الحالي (الأعمال + التطبيقات + البيانات)</t>
        </is>
      </c>
      <c r="E9" s="2" t="n">
        <v>0</v>
      </c>
    </row>
    <row r="10">
      <c r="A10" s="2" t="inlineStr">
        <is>
          <t>T-C1-01</t>
        </is>
      </c>
      <c r="B10" s="3" t="inlineStr">
        <is>
          <t>تحليل الوضع الحالي (الأعمال + التطبيقات + البيانات)</t>
        </is>
      </c>
      <c r="C10" s="2" t="inlineStr">
        <is>
          <t>T-C1-02</t>
        </is>
      </c>
      <c r="D10" s="3" t="inlineStr">
        <is>
          <t>تحديد الوضع المستقبلي (الأعمال + التطبيقات + البيانات + التكنولوجيا)</t>
        </is>
      </c>
      <c r="E10" s="2" t="n">
        <v>0</v>
      </c>
    </row>
    <row r="11">
      <c r="A11" s="2" t="inlineStr">
        <is>
          <t>T-C1-01</t>
        </is>
      </c>
      <c r="B11" s="3" t="inlineStr">
        <is>
          <t>تحليل الوضع الحالي (الأعمال + التطبيقات + البيانات)</t>
        </is>
      </c>
      <c r="C11" s="2" t="inlineStr">
        <is>
          <t>T-C1-03</t>
        </is>
      </c>
      <c r="D11" s="3" t="inlineStr">
        <is>
          <t>تحليل الفجوات</t>
        </is>
      </c>
      <c r="E11" s="2" t="n">
        <v>0</v>
      </c>
    </row>
    <row r="12">
      <c r="A12" s="2" t="inlineStr">
        <is>
          <t>T-C1-02</t>
        </is>
      </c>
      <c r="B12" s="3" t="inlineStr">
        <is>
          <t>تحديد الوضع المستقبلي (الأعمال + التطبيقات + البيانات + التكنولوجيا)</t>
        </is>
      </c>
      <c r="C12" s="2" t="inlineStr">
        <is>
          <t>T-C1-03</t>
        </is>
      </c>
      <c r="D12" s="3" t="inlineStr">
        <is>
          <t>تحليل الفجوات</t>
        </is>
      </c>
      <c r="E12" s="2" t="n">
        <v>0</v>
      </c>
    </row>
    <row r="13">
      <c r="A13" s="2" t="inlineStr">
        <is>
          <t>T-C1-03</t>
        </is>
      </c>
      <c r="B13" s="3" t="inlineStr">
        <is>
          <t>تحليل الفجوات</t>
        </is>
      </c>
      <c r="C13" s="2" t="inlineStr">
        <is>
          <t>T-C1-04</t>
        </is>
      </c>
      <c r="D13" s="3" t="inlineStr">
        <is>
          <t>تطوير خارطة طريق التحول الرقمي</t>
        </is>
      </c>
      <c r="E13" s="2" t="n">
        <v>0</v>
      </c>
    </row>
    <row r="14">
      <c r="A14" s="2" t="inlineStr">
        <is>
          <t>T-C1-03</t>
        </is>
      </c>
      <c r="B14" s="3" t="inlineStr">
        <is>
          <t>تحليل الفجوات</t>
        </is>
      </c>
      <c r="C14" s="2" t="inlineStr">
        <is>
          <t>T-C1-05</t>
        </is>
      </c>
      <c r="D14" s="3" t="inlineStr">
        <is>
          <t>إصدار وثيقة متطلبات البنية المؤسسية + سجل المتطلبات</t>
        </is>
      </c>
      <c r="E14" s="2" t="n">
        <v>0</v>
      </c>
    </row>
    <row r="15">
      <c r="A15" s="2" t="inlineStr">
        <is>
          <t>T-F01.7</t>
        </is>
      </c>
      <c r="B15" s="3" t="inlineStr">
        <is>
          <t>إعداد النموذج التشغيلي + الخطة التشغيلية + خطط التوعية والتدريب</t>
        </is>
      </c>
      <c r="C15" s="2" t="inlineStr">
        <is>
          <t>T-C1-06</t>
        </is>
      </c>
      <c r="D15" s="3" t="inlineStr">
        <is>
          <t>تنفيذ خطة التوعية (ورش + فيديوهات + نشرات + استبيانات)</t>
        </is>
      </c>
      <c r="E15" s="2" t="n">
        <v>0</v>
      </c>
    </row>
    <row r="16">
      <c r="A16" s="2" t="inlineStr">
        <is>
          <t>T-F01.7</t>
        </is>
      </c>
      <c r="B16" s="3" t="inlineStr">
        <is>
          <t>إعداد النموذج التشغيلي + الخطة التشغيلية + خطط التوعية والتدريب</t>
        </is>
      </c>
      <c r="C16" s="2" t="inlineStr">
        <is>
          <t>T-C1-07</t>
        </is>
      </c>
      <c r="D16" s="3" t="inlineStr">
        <is>
          <t>تنفيذ خطة التدريب (شهادات TOGAF Foundation للأعضاء)</t>
        </is>
      </c>
      <c r="E16" s="2" t="n">
        <v>0</v>
      </c>
    </row>
    <row r="17">
      <c r="A17" s="2" t="inlineStr">
        <is>
          <t>T-F01.7</t>
        </is>
      </c>
      <c r="B17" s="3" t="inlineStr">
        <is>
          <t>إعداد النموذج التشغيلي + الخطة التشغيلية + خطط التوعية والتدريب</t>
        </is>
      </c>
      <c r="C17" s="2" t="inlineStr">
        <is>
          <t>T-C1-08</t>
        </is>
      </c>
      <c r="D17" s="3" t="inlineStr">
        <is>
          <t>إصدار التقارير الربعية لـ 2025 (Q1–Q4)</t>
        </is>
      </c>
      <c r="E17" s="2" t="n">
        <v>0</v>
      </c>
    </row>
    <row r="18">
      <c r="A18" s="2" t="inlineStr">
        <is>
          <t>T-C1-04</t>
        </is>
      </c>
      <c r="B18" s="3" t="inlineStr">
        <is>
          <t>تطوير خارطة طريق التحول الرقمي</t>
        </is>
      </c>
      <c r="C18" s="2" t="inlineStr">
        <is>
          <t>T-C1-09</t>
        </is>
      </c>
      <c r="D18" s="3" t="inlineStr">
        <is>
          <t>تقرير إغلاق الدورة الأولى</t>
        </is>
      </c>
      <c r="E18" s="2" t="n">
        <v>0</v>
      </c>
    </row>
    <row r="19">
      <c r="A19" s="2" t="inlineStr">
        <is>
          <t>T-C1-05</t>
        </is>
      </c>
      <c r="B19" s="3" t="inlineStr">
        <is>
          <t>إصدار وثيقة متطلبات البنية المؤسسية + سجل المتطلبات</t>
        </is>
      </c>
      <c r="C19" s="2" t="inlineStr">
        <is>
          <t>T-C1-09</t>
        </is>
      </c>
      <c r="D19" s="3" t="inlineStr">
        <is>
          <t>تقرير إغلاق الدورة الأولى</t>
        </is>
      </c>
      <c r="E19" s="2" t="n">
        <v>0</v>
      </c>
    </row>
    <row r="20">
      <c r="A20" s="2" t="inlineStr">
        <is>
          <t>T-CT-01</t>
        </is>
      </c>
      <c r="B20" s="3" t="inlineStr">
        <is>
          <t>إصدار الخطة الاستراتيجية للبيانات والتحول الرقمي 2026-2028</t>
        </is>
      </c>
      <c r="C20" s="2" t="inlineStr">
        <is>
          <t>T-CT-02</t>
        </is>
      </c>
      <c r="D20" s="3" t="inlineStr">
        <is>
          <t>محضر اعتماد الاستراتيجية الجديدة</t>
        </is>
      </c>
      <c r="E20" s="2" t="n">
        <v>0</v>
      </c>
    </row>
    <row r="21">
      <c r="A21" s="2" t="inlineStr">
        <is>
          <t>T-CT-01</t>
        </is>
      </c>
      <c r="B21" s="3" t="inlineStr">
        <is>
          <t>إصدار الخطة الاستراتيجية للبيانات والتحول الرقمي 2026-2028</t>
        </is>
      </c>
      <c r="C21" s="2" t="inlineStr">
        <is>
          <t>T-CT-03</t>
        </is>
      </c>
      <c r="D21" s="3" t="inlineStr">
        <is>
          <t>تقرير دراسة أثر التغيير على متطلبات البنية المؤسسية</t>
        </is>
      </c>
      <c r="E21" s="2" t="n">
        <v>0</v>
      </c>
    </row>
    <row r="22">
      <c r="A22" s="2" t="inlineStr">
        <is>
          <t>T-CT-01</t>
        </is>
      </c>
      <c r="B22" s="3" t="inlineStr">
        <is>
          <t>إصدار الخطة الاستراتيجية للبيانات والتحول الرقمي 2026-2028</t>
        </is>
      </c>
      <c r="C22" s="2" t="inlineStr">
        <is>
          <t>T-CT-04</t>
        </is>
      </c>
      <c r="D22" s="3" t="inlineStr">
        <is>
          <t>تقرير دراسة أثر التغيير على مبادئ البنية المؤسسية</t>
        </is>
      </c>
      <c r="E22" s="2" t="n">
        <v>0</v>
      </c>
    </row>
    <row r="23">
      <c r="A23" s="2" t="inlineStr">
        <is>
          <t>T-CT-02</t>
        </is>
      </c>
      <c r="B23" s="3" t="inlineStr">
        <is>
          <t>محضر اعتماد الاستراتيجية الجديدة</t>
        </is>
      </c>
      <c r="C23" s="2" t="inlineStr">
        <is>
          <t>T-CT-05</t>
        </is>
      </c>
      <c r="D23" s="3" t="inlineStr">
        <is>
          <t>تحديث استراتيجية البنية المؤسسية (v2)</t>
        </is>
      </c>
      <c r="E23" s="2" t="n">
        <v>0</v>
      </c>
    </row>
    <row r="24">
      <c r="A24" s="2" t="inlineStr">
        <is>
          <t>T-CT-03</t>
        </is>
      </c>
      <c r="B24" s="3" t="inlineStr">
        <is>
          <t>تقرير دراسة أثر التغيير على متطلبات البنية المؤسسية</t>
        </is>
      </c>
      <c r="C24" s="2" t="inlineStr">
        <is>
          <t>T-CT-05</t>
        </is>
      </c>
      <c r="D24" s="3" t="inlineStr">
        <is>
          <t>تحديث استراتيجية البنية المؤسسية (v2)</t>
        </is>
      </c>
      <c r="E24" s="2" t="n">
        <v>0</v>
      </c>
    </row>
    <row r="25">
      <c r="A25" s="2" t="inlineStr">
        <is>
          <t>T-CT-04</t>
        </is>
      </c>
      <c r="B25" s="3" t="inlineStr">
        <is>
          <t>تقرير دراسة أثر التغيير على مبادئ البنية المؤسسية</t>
        </is>
      </c>
      <c r="C25" s="2" t="inlineStr">
        <is>
          <t>T-CT-05</t>
        </is>
      </c>
      <c r="D25" s="3" t="inlineStr">
        <is>
          <t>تحديث استراتيجية البنية المؤسسية (v2)</t>
        </is>
      </c>
      <c r="E25" s="2" t="n">
        <v>0</v>
      </c>
    </row>
    <row r="26">
      <c r="A26" s="2" t="inlineStr">
        <is>
          <t>T-CT-05</t>
        </is>
      </c>
      <c r="B26" s="3" t="inlineStr">
        <is>
          <t>تحديث استراتيجية البنية المؤسسية (v2)</t>
        </is>
      </c>
      <c r="C26" s="2" t="inlineStr">
        <is>
          <t>T-CT-06</t>
        </is>
      </c>
      <c r="D26" s="3" t="inlineStr">
        <is>
          <t>قرار إطلاق الدورة الثانية</t>
        </is>
      </c>
      <c r="E26" s="2" t="n">
        <v>0</v>
      </c>
    </row>
    <row r="27">
      <c r="A27" s="2" t="inlineStr">
        <is>
          <t>T-CT-06</t>
        </is>
      </c>
      <c r="B27" s="3" t="inlineStr">
        <is>
          <t>قرار إطلاق الدورة الثانية</t>
        </is>
      </c>
      <c r="C27" s="2" t="inlineStr">
        <is>
          <t>T-C2-01</t>
        </is>
      </c>
      <c r="D27" s="3" t="inlineStr">
        <is>
          <t>إصدار ميثاق الدورة الثانية</t>
        </is>
      </c>
      <c r="E27" s="2" t="n">
        <v>0</v>
      </c>
    </row>
    <row r="28">
      <c r="A28" s="2" t="inlineStr">
        <is>
          <t>T-CT-05</t>
        </is>
      </c>
      <c r="B28" s="3" t="inlineStr">
        <is>
          <t>تحديث استراتيجية البنية المؤسسية (v2)</t>
        </is>
      </c>
      <c r="C28" s="2" t="inlineStr">
        <is>
          <t>T-C2-02</t>
        </is>
      </c>
      <c r="D28" s="3" t="inlineStr">
        <is>
          <t>إعادة محاذاة الوضع المستقبلي للبنية المؤسسية</t>
        </is>
      </c>
      <c r="E28" s="2" t="n">
        <v>0</v>
      </c>
    </row>
    <row r="29">
      <c r="A29" s="2" t="inlineStr">
        <is>
          <t>T-C2-01</t>
        </is>
      </c>
      <c r="B29" s="3" t="inlineStr">
        <is>
          <t>إصدار ميثاق الدورة الثانية</t>
        </is>
      </c>
      <c r="C29" s="2" t="inlineStr">
        <is>
          <t>T-C2-02</t>
        </is>
      </c>
      <c r="D29" s="3" t="inlineStr">
        <is>
          <t>إعادة محاذاة الوضع المستقبلي للبنية المؤسسية</t>
        </is>
      </c>
      <c r="E29" s="2" t="n">
        <v>0</v>
      </c>
    </row>
    <row r="30">
      <c r="A30" s="2" t="inlineStr">
        <is>
          <t>T-C2-02</t>
        </is>
      </c>
      <c r="B30" s="3" t="inlineStr">
        <is>
          <t>إعادة محاذاة الوضع المستقبلي للبنية المؤسسية</t>
        </is>
      </c>
      <c r="C30" s="2" t="inlineStr">
        <is>
          <t>T-C2-03</t>
        </is>
      </c>
      <c r="D30" s="3" t="inlineStr">
        <is>
          <t>إعادة محاذاة خارطة الطريق</t>
        </is>
      </c>
      <c r="E30" s="2" t="n">
        <v>0</v>
      </c>
    </row>
    <row r="31">
      <c r="A31" s="2" t="inlineStr">
        <is>
          <t>T-C2-01</t>
        </is>
      </c>
      <c r="B31" s="3" t="inlineStr">
        <is>
          <t>إصدار ميثاق الدورة الثانية</t>
        </is>
      </c>
      <c r="C31" s="2" t="inlineStr">
        <is>
          <t>T-C2-04</t>
        </is>
      </c>
      <c r="D31" s="3" t="inlineStr">
        <is>
          <t>تطبيق تحسينات على وثائق التأطير (بناءً على feedback دورة 1)</t>
        </is>
      </c>
      <c r="E31" s="2" t="n">
        <v>0</v>
      </c>
    </row>
    <row r="32">
      <c r="A32" s="2" t="inlineStr">
        <is>
          <t>T-C2-02</t>
        </is>
      </c>
      <c r="B32" s="3" t="inlineStr">
        <is>
          <t>إعادة محاذاة الوضع المستقبلي للبنية المؤسسية</t>
        </is>
      </c>
      <c r="C32" s="2" t="inlineStr">
        <is>
          <t>T-C2-05</t>
        </is>
      </c>
      <c r="D32" s="3" t="inlineStr">
        <is>
          <t>تقرير إغلاق الدورة الثانية</t>
        </is>
      </c>
      <c r="E32" s="2" t="n">
        <v>0</v>
      </c>
    </row>
    <row r="33">
      <c r="A33" s="2" t="inlineStr">
        <is>
          <t>T-C2-03</t>
        </is>
      </c>
      <c r="B33" s="3" t="inlineStr">
        <is>
          <t>إعادة محاذاة خارطة الطريق</t>
        </is>
      </c>
      <c r="C33" s="2" t="inlineStr">
        <is>
          <t>T-C2-05</t>
        </is>
      </c>
      <c r="D33" s="3" t="inlineStr">
        <is>
          <t>تقرير إغلاق الدورة الثانية</t>
        </is>
      </c>
      <c r="E33" s="2" t="n">
        <v>0</v>
      </c>
    </row>
    <row r="34">
      <c r="A34" s="2" t="inlineStr">
        <is>
          <t>T-C2-04</t>
        </is>
      </c>
      <c r="B34" s="3" t="inlineStr">
        <is>
          <t>تطبيق تحسينات على وثائق التأطير (بناءً على feedback دورة 1)</t>
        </is>
      </c>
      <c r="C34" s="2" t="inlineStr">
        <is>
          <t>T-C2-05</t>
        </is>
      </c>
      <c r="D34" s="3" t="inlineStr">
        <is>
          <t>تقرير إغلاق الدورة الثانية</t>
        </is>
      </c>
      <c r="E34" s="2" t="n">
        <v>0</v>
      </c>
    </row>
    <row r="35">
      <c r="A35" s="2" t="inlineStr">
        <is>
          <t>T-SUB-01</t>
        </is>
      </c>
      <c r="B35" s="3" t="inlineStr">
        <is>
          <t>إصدار الميثاق العام لدورات تطوير مكونات البنية المؤسسية</t>
        </is>
      </c>
      <c r="C35" s="2" t="inlineStr">
        <is>
          <t>T-SUB-02</t>
        </is>
      </c>
      <c r="D35" s="3" t="inlineStr">
        <is>
          <t>تجميع ملف التقديم (Submission Package)</t>
        </is>
      </c>
      <c r="E35" s="2" t="n">
        <v>0</v>
      </c>
    </row>
    <row r="36">
      <c r="A36" s="2" t="inlineStr">
        <is>
          <t>T-C2-05</t>
        </is>
      </c>
      <c r="B36" s="3" t="inlineStr">
        <is>
          <t>تقرير إغلاق الدورة الثانية</t>
        </is>
      </c>
      <c r="C36" s="2" t="inlineStr">
        <is>
          <t>T-SUB-02</t>
        </is>
      </c>
      <c r="D36" s="3" t="inlineStr">
        <is>
          <t>تجميع ملف التقديم (Submission Package)</t>
        </is>
      </c>
      <c r="E36" s="2" t="n">
        <v>0</v>
      </c>
    </row>
    <row r="37">
      <c r="A37" s="2" t="inlineStr">
        <is>
          <t>T-C1-09</t>
        </is>
      </c>
      <c r="B37" s="3" t="inlineStr">
        <is>
          <t>تقرير إغلاق الدورة الأولى</t>
        </is>
      </c>
      <c r="C37" s="2" t="inlineStr">
        <is>
          <t>T-SUB-02</t>
        </is>
      </c>
      <c r="D37" s="3" t="inlineStr">
        <is>
          <t>تجميع ملف التقديم (Submission Package)</t>
        </is>
      </c>
      <c r="E37" s="2" t="n">
        <v>0</v>
      </c>
    </row>
    <row r="38">
      <c r="A38" s="2" t="inlineStr">
        <is>
          <t>T-SUB-02</t>
        </is>
      </c>
      <c r="B38" s="3" t="inlineStr">
        <is>
          <t>تجميع ملف التقديم (Submission Package)</t>
        </is>
      </c>
      <c r="C38" s="2" t="inlineStr">
        <is>
          <t>T-SUB-03</t>
        </is>
      </c>
      <c r="D38" s="3" t="inlineStr">
        <is>
          <t>التقديم الرسمي للجنة التقييم</t>
        </is>
      </c>
      <c r="E38" s="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3"/>
  <sheetViews>
    <sheetView rightToLeft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0" customWidth="1" min="2" max="2"/>
    <col width="18" customWidth="1" min="3" max="3"/>
    <col width="25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</cols>
  <sheetData>
    <row r="1">
      <c r="A1" s="1" t="inlineStr">
        <is>
          <t>id</t>
        </is>
      </c>
      <c r="B1" s="1" t="inlineStr">
        <is>
          <t>name_ar</t>
        </is>
      </c>
      <c r="C1" s="1" t="inlineStr">
        <is>
          <t>phase</t>
        </is>
      </c>
      <c r="D1" s="1" t="inlineStr">
        <is>
          <t>status</t>
        </is>
      </c>
      <c r="E1" s="1" t="inlineStr">
        <is>
          <t>2024-07</t>
        </is>
      </c>
      <c r="F1" s="1" t="inlineStr">
        <is>
          <t>2024-08</t>
        </is>
      </c>
      <c r="G1" s="1" t="inlineStr">
        <is>
          <t>2024-09</t>
        </is>
      </c>
      <c r="H1" s="1" t="inlineStr">
        <is>
          <t>2024-10</t>
        </is>
      </c>
      <c r="I1" s="1" t="inlineStr">
        <is>
          <t>2024-11</t>
        </is>
      </c>
      <c r="J1" s="1" t="inlineStr">
        <is>
          <t>2024-12</t>
        </is>
      </c>
      <c r="K1" s="1" t="inlineStr">
        <is>
          <t>2025-01</t>
        </is>
      </c>
      <c r="L1" s="1" t="inlineStr">
        <is>
          <t>2025-02</t>
        </is>
      </c>
      <c r="M1" s="1" t="inlineStr">
        <is>
          <t>2025-03</t>
        </is>
      </c>
      <c r="N1" s="1" t="inlineStr">
        <is>
          <t>2025-04</t>
        </is>
      </c>
      <c r="O1" s="1" t="inlineStr">
        <is>
          <t>2025-05</t>
        </is>
      </c>
      <c r="P1" s="1" t="inlineStr">
        <is>
          <t>2025-06</t>
        </is>
      </c>
      <c r="Q1" s="1" t="inlineStr">
        <is>
          <t>2025-07</t>
        </is>
      </c>
      <c r="R1" s="1" t="inlineStr">
        <is>
          <t>2025-08</t>
        </is>
      </c>
      <c r="S1" s="1" t="inlineStr">
        <is>
          <t>2025-09</t>
        </is>
      </c>
      <c r="T1" s="1" t="inlineStr">
        <is>
          <t>2025-10</t>
        </is>
      </c>
      <c r="U1" s="1" t="inlineStr">
        <is>
          <t>2025-11</t>
        </is>
      </c>
      <c r="V1" s="1" t="inlineStr">
        <is>
          <t>2025-12</t>
        </is>
      </c>
      <c r="W1" s="1" t="inlineStr">
        <is>
          <t>2026-01</t>
        </is>
      </c>
      <c r="X1" s="1" t="inlineStr">
        <is>
          <t>2026-02</t>
        </is>
      </c>
      <c r="Y1" s="1" t="inlineStr">
        <is>
          <t>2026-03</t>
        </is>
      </c>
      <c r="Z1" s="1" t="inlineStr">
        <is>
          <t>2026-04</t>
        </is>
      </c>
      <c r="AA1" s="1" t="inlineStr">
        <is>
          <t>2026-05</t>
        </is>
      </c>
      <c r="AB1" s="1" t="inlineStr">
        <is>
          <t>2026-06</t>
        </is>
      </c>
      <c r="AC1" s="1" t="inlineStr">
        <is>
          <t>2026-07</t>
        </is>
      </c>
    </row>
    <row r="2">
      <c r="A2" s="2" t="inlineStr">
        <is>
          <t>T-F01</t>
        </is>
      </c>
      <c r="B2" s="3" t="inlineStr">
        <is>
          <t>تأسيس الوحدة التنظيمية للبنية المؤسسية</t>
        </is>
      </c>
      <c r="C2" s="2" t="inlineStr">
        <is>
          <t>foundation</t>
        </is>
      </c>
      <c r="D2" s="2" t="inlineStr">
        <is>
          <t>completed</t>
        </is>
      </c>
      <c r="E2" s="14" t="inlineStr"/>
      <c r="F2" s="14" t="inlineStr"/>
      <c r="G2" s="14" t="inlineStr"/>
      <c r="H2" s="14" t="inlineStr"/>
      <c r="I2" s="14" t="inlineStr"/>
      <c r="J2" s="14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</row>
    <row r="3">
      <c r="A3" s="2" t="inlineStr">
        <is>
          <t>T-F01.1</t>
        </is>
      </c>
      <c r="B3" s="3" t="inlineStr">
        <is>
          <t>تشكيل فريق البنية المؤسسية</t>
        </is>
      </c>
      <c r="C3" s="2" t="inlineStr">
        <is>
          <t>foundation</t>
        </is>
      </c>
      <c r="D3" s="2" t="inlineStr">
        <is>
          <t>completed</t>
        </is>
      </c>
      <c r="E3" s="2" t="inlineStr"/>
      <c r="F3" s="6" t="inlineStr"/>
      <c r="G3" s="6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inlineStr"/>
      <c r="W3" s="2" t="inlineStr"/>
      <c r="X3" s="2" t="inlineStr"/>
      <c r="Y3" s="2" t="inlineStr"/>
      <c r="Z3" s="2" t="inlineStr"/>
      <c r="AA3" s="2" t="inlineStr"/>
      <c r="AB3" s="2" t="inlineStr"/>
      <c r="AC3" s="2" t="inlineStr"/>
    </row>
    <row r="4">
      <c r="A4" s="2" t="inlineStr">
        <is>
          <t>T-F01.2</t>
        </is>
      </c>
      <c r="B4" s="3" t="inlineStr">
        <is>
          <t>تعيين مدير قسم البنية المؤسسية (كبير المهندسين)</t>
        </is>
      </c>
      <c r="C4" s="2" t="inlineStr">
        <is>
          <t>foundation</t>
        </is>
      </c>
      <c r="D4" s="2" t="inlineStr">
        <is>
          <t>completed</t>
        </is>
      </c>
      <c r="E4" s="2" t="inlineStr"/>
      <c r="F4" s="2" t="inlineStr"/>
      <c r="G4" s="6" t="inlineStr"/>
      <c r="H4" s="6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s="2" t="inlineStr"/>
      <c r="X4" s="2" t="inlineStr"/>
      <c r="Y4" s="2" t="inlineStr"/>
      <c r="Z4" s="2" t="inlineStr"/>
      <c r="AA4" s="2" t="inlineStr"/>
      <c r="AB4" s="2" t="inlineStr"/>
      <c r="AC4" s="2" t="inlineStr"/>
    </row>
    <row r="5">
      <c r="A5" s="2" t="inlineStr">
        <is>
          <t>T-F01.3</t>
        </is>
      </c>
      <c r="B5" s="3" t="inlineStr">
        <is>
          <t>اعتماد الاستراتيجيات المرجعية للهيئة (الأعمال + الأمن السيبراني)</t>
        </is>
      </c>
      <c r="C5" s="2" t="inlineStr">
        <is>
          <t>foundation</t>
        </is>
      </c>
      <c r="D5" s="2" t="inlineStr">
        <is>
          <t>completed</t>
        </is>
      </c>
      <c r="E5" s="6" t="inlineStr"/>
      <c r="F5" s="6" t="inlineStr"/>
      <c r="G5" s="6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inlineStr"/>
      <c r="W5" s="2" t="inlineStr"/>
      <c r="X5" s="2" t="inlineStr"/>
      <c r="Y5" s="2" t="inlineStr"/>
      <c r="Z5" s="2" t="inlineStr"/>
      <c r="AA5" s="2" t="inlineStr"/>
      <c r="AB5" s="2" t="inlineStr"/>
      <c r="AC5" s="2" t="inlineStr"/>
    </row>
    <row r="6">
      <c r="A6" s="2" t="inlineStr">
        <is>
          <t>T-F01.4</t>
        </is>
      </c>
      <c r="B6" s="3" t="inlineStr">
        <is>
          <t>إعداد استراتيجية البنية المؤسسية (v1)</t>
        </is>
      </c>
      <c r="C6" s="2" t="inlineStr">
        <is>
          <t>foundation</t>
        </is>
      </c>
      <c r="D6" s="2" t="inlineStr">
        <is>
          <t>completed</t>
        </is>
      </c>
      <c r="E6" s="2" t="inlineStr"/>
      <c r="F6" s="2" t="inlineStr"/>
      <c r="G6" s="6" t="inlineStr"/>
      <c r="H6" s="6" t="inlineStr"/>
      <c r="I6" s="6" t="inlineStr"/>
      <c r="J6" s="6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inlineStr"/>
      <c r="W6" s="2" t="inlineStr"/>
      <c r="X6" s="2" t="inlineStr"/>
      <c r="Y6" s="2" t="inlineStr"/>
      <c r="Z6" s="2" t="inlineStr"/>
      <c r="AA6" s="2" t="inlineStr"/>
      <c r="AB6" s="2" t="inlineStr"/>
      <c r="AC6" s="2" t="inlineStr"/>
    </row>
    <row r="7">
      <c r="A7" s="2" t="inlineStr">
        <is>
          <t>T-F01.5</t>
        </is>
      </c>
      <c r="B7" s="3" t="inlineStr">
        <is>
          <t>اعتماد الهيكل التنظيمي للوحدة (للهيئة + للتحول الرقمي)</t>
        </is>
      </c>
      <c r="C7" s="2" t="inlineStr">
        <is>
          <t>foundation</t>
        </is>
      </c>
      <c r="D7" s="2" t="inlineStr">
        <is>
          <t>completed</t>
        </is>
      </c>
      <c r="E7" s="2" t="inlineStr"/>
      <c r="F7" s="2" t="inlineStr"/>
      <c r="G7" s="6" t="inlineStr"/>
      <c r="H7" s="6" t="inlineStr"/>
      <c r="I7" s="6" t="inlineStr"/>
      <c r="J7" s="6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inlineStr"/>
      <c r="W7" s="2" t="inlineStr"/>
      <c r="X7" s="2" t="inlineStr"/>
      <c r="Y7" s="2" t="inlineStr"/>
      <c r="Z7" s="2" t="inlineStr"/>
      <c r="AA7" s="2" t="inlineStr"/>
      <c r="AB7" s="2" t="inlineStr"/>
      <c r="AC7" s="2" t="inlineStr"/>
    </row>
    <row r="8">
      <c r="A8" s="2" t="inlineStr">
        <is>
          <t>T-F01.6</t>
        </is>
      </c>
      <c r="B8" s="3" t="inlineStr">
        <is>
          <t>إعداد الوثائق التأطيرية (سياسة + مبادئ + مناظير + نماذج مرجعية)</t>
        </is>
      </c>
      <c r="C8" s="2" t="inlineStr">
        <is>
          <t>foundation</t>
        </is>
      </c>
      <c r="D8" s="2" t="inlineStr">
        <is>
          <t>completed</t>
        </is>
      </c>
      <c r="E8" s="2" t="inlineStr"/>
      <c r="F8" s="2" t="inlineStr"/>
      <c r="G8" s="2" t="inlineStr"/>
      <c r="H8" s="6" t="inlineStr"/>
      <c r="I8" s="6" t="inlineStr"/>
      <c r="J8" s="6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inlineStr"/>
      <c r="U8" s="2" t="inlineStr"/>
      <c r="V8" s="2" t="inlineStr"/>
      <c r="W8" s="2" t="inlineStr"/>
      <c r="X8" s="2" t="inlineStr"/>
      <c r="Y8" s="2" t="inlineStr"/>
      <c r="Z8" s="2" t="inlineStr"/>
      <c r="AA8" s="2" t="inlineStr"/>
      <c r="AB8" s="2" t="inlineStr"/>
      <c r="AC8" s="2" t="inlineStr"/>
    </row>
    <row r="9">
      <c r="A9" s="2" t="inlineStr">
        <is>
          <t>T-F01.7</t>
        </is>
      </c>
      <c r="B9" s="3" t="inlineStr">
        <is>
          <t>إعداد النموذج التشغيلي + الخطة التشغيلية + خطط التوعية والتدريب</t>
        </is>
      </c>
      <c r="C9" s="2" t="inlineStr">
        <is>
          <t>foundation</t>
        </is>
      </c>
      <c r="D9" s="2" t="inlineStr">
        <is>
          <t>completed</t>
        </is>
      </c>
      <c r="E9" s="2" t="inlineStr"/>
      <c r="F9" s="2" t="inlineStr"/>
      <c r="G9" s="2" t="inlineStr"/>
      <c r="H9" s="2" t="inlineStr"/>
      <c r="I9" s="6" t="inlineStr"/>
      <c r="J9" s="6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  <c r="T9" s="2" t="inlineStr"/>
      <c r="U9" s="2" t="inlineStr"/>
      <c r="V9" s="2" t="inlineStr"/>
      <c r="W9" s="2" t="inlineStr"/>
      <c r="X9" s="2" t="inlineStr"/>
      <c r="Y9" s="2" t="inlineStr"/>
      <c r="Z9" s="2" t="inlineStr"/>
      <c r="AA9" s="2" t="inlineStr"/>
      <c r="AB9" s="2" t="inlineStr"/>
      <c r="AC9" s="2" t="inlineStr"/>
    </row>
    <row r="10">
      <c r="A10" s="2" t="inlineStr">
        <is>
          <t>T-C1-01</t>
        </is>
      </c>
      <c r="B10" s="3" t="inlineStr">
        <is>
          <t>تحليل الوضع الحالي (الأعمال + التطبيقات + البيانات)</t>
        </is>
      </c>
      <c r="C10" s="2" t="inlineStr">
        <is>
          <t>cycle_1</t>
        </is>
      </c>
      <c r="D10" s="2" t="inlineStr">
        <is>
          <t>completed-no-formal-doc</t>
        </is>
      </c>
      <c r="E10" s="2" t="inlineStr"/>
      <c r="F10" s="2" t="inlineStr"/>
      <c r="G10" s="2" t="inlineStr"/>
      <c r="H10" s="2" t="inlineStr"/>
      <c r="I10" s="2" t="inlineStr"/>
      <c r="J10" s="2" t="inlineStr"/>
      <c r="K10" s="8" t="inlineStr"/>
      <c r="L10" s="8" t="inlineStr"/>
      <c r="M10" s="8" t="inlineStr"/>
      <c r="N10" s="8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inlineStr"/>
      <c r="W10" s="2" t="inlineStr"/>
      <c r="X10" s="2" t="inlineStr"/>
      <c r="Y10" s="2" t="inlineStr"/>
      <c r="Z10" s="2" t="inlineStr"/>
      <c r="AA10" s="2" t="inlineStr"/>
      <c r="AB10" s="2" t="inlineStr"/>
      <c r="AC10" s="2" t="inlineStr"/>
    </row>
    <row r="11">
      <c r="A11" s="2" t="inlineStr">
        <is>
          <t>T-C1-02</t>
        </is>
      </c>
      <c r="B11" s="3" t="inlineStr">
        <is>
          <t>تحديد الوضع المستقبلي (الأعمال + التطبيقات + البيانات + التكنولوجيا)</t>
        </is>
      </c>
      <c r="C11" s="2" t="inlineStr">
        <is>
          <t>cycle_1</t>
        </is>
      </c>
      <c r="D11" s="2" t="inlineStr">
        <is>
          <t>completed-no-formal-doc</t>
        </is>
      </c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8" t="inlineStr"/>
      <c r="M11" s="8" t="inlineStr"/>
      <c r="N11" s="8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inlineStr"/>
      <c r="W11" s="2" t="inlineStr"/>
      <c r="X11" s="2" t="inlineStr"/>
      <c r="Y11" s="2" t="inlineStr"/>
      <c r="Z11" s="2" t="inlineStr"/>
      <c r="AA11" s="2" t="inlineStr"/>
      <c r="AB11" s="2" t="inlineStr"/>
      <c r="AC11" s="2" t="inlineStr"/>
    </row>
    <row r="12">
      <c r="A12" s="2" t="inlineStr">
        <is>
          <t>T-C1-03</t>
        </is>
      </c>
      <c r="B12" s="3" t="inlineStr">
        <is>
          <t>تحليل الفجوات</t>
        </is>
      </c>
      <c r="C12" s="2" t="inlineStr">
        <is>
          <t>cycle_1</t>
        </is>
      </c>
      <c r="D12" s="2" t="inlineStr">
        <is>
          <t>completed-no-formal-doc</t>
        </is>
      </c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8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</row>
    <row r="13">
      <c r="A13" s="2" t="inlineStr">
        <is>
          <t>T-C1-04</t>
        </is>
      </c>
      <c r="B13" s="3" t="inlineStr">
        <is>
          <t>تطوير خارطة طريق التحول الرقمي</t>
        </is>
      </c>
      <c r="C13" s="2" t="inlineStr">
        <is>
          <t>cycle_1</t>
        </is>
      </c>
      <c r="D13" s="2" t="inlineStr">
        <is>
          <t>completed</t>
        </is>
      </c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  <c r="N13" s="2" t="inlineStr"/>
      <c r="O13" s="6" t="inlineStr"/>
      <c r="P13" s="6" t="inlineStr"/>
      <c r="Q13" s="6" t="inlineStr"/>
      <c r="R13" s="2" t="inlineStr"/>
      <c r="S13" s="2" t="inlineStr"/>
      <c r="T13" s="2" t="inlineStr"/>
      <c r="U13" s="2" t="inlineStr"/>
      <c r="V13" s="2" t="inlineStr"/>
      <c r="W13" s="2" t="inlineStr"/>
      <c r="X13" s="2" t="inlineStr"/>
      <c r="Y13" s="2" t="inlineStr"/>
      <c r="Z13" s="2" t="inlineStr"/>
      <c r="AA13" s="2" t="inlineStr"/>
      <c r="AB13" s="2" t="inlineStr"/>
      <c r="AC13" s="2" t="inlineStr"/>
    </row>
    <row r="14">
      <c r="A14" s="2" t="inlineStr">
        <is>
          <t>T-C1-05</t>
        </is>
      </c>
      <c r="B14" s="3" t="inlineStr">
        <is>
          <t>إصدار وثيقة متطلبات البنية المؤسسية + سجل المتطلبات</t>
        </is>
      </c>
      <c r="C14" s="2" t="inlineStr">
        <is>
          <t>cycle_1</t>
        </is>
      </c>
      <c r="D14" s="2" t="inlineStr">
        <is>
          <t>completed</t>
        </is>
      </c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/>
      <c r="M14" s="2" t="inlineStr"/>
      <c r="N14" s="6" t="inlineStr"/>
      <c r="O14" s="6" t="inlineStr"/>
      <c r="P14" s="6" t="inlineStr"/>
      <c r="Q14" s="6" t="inlineStr"/>
      <c r="R14" s="2" t="inlineStr"/>
      <c r="S14" s="2" t="inlineStr"/>
      <c r="T14" s="2" t="inlineStr"/>
      <c r="U14" s="2" t="inlineStr"/>
      <c r="V14" s="2" t="inlineStr"/>
      <c r="W14" s="2" t="inlineStr"/>
      <c r="X14" s="2" t="inlineStr"/>
      <c r="Y14" s="2" t="inlineStr"/>
      <c r="Z14" s="2" t="inlineStr"/>
      <c r="AA14" s="2" t="inlineStr"/>
      <c r="AB14" s="2" t="inlineStr"/>
      <c r="AC14" s="2" t="inlineStr"/>
    </row>
    <row r="15">
      <c r="A15" s="2" t="inlineStr">
        <is>
          <t>T-C1-06</t>
        </is>
      </c>
      <c r="B15" s="3" t="inlineStr">
        <is>
          <t>تنفيذ خطة التوعية (ورش + فيديوهات + نشرات + استبيانات)</t>
        </is>
      </c>
      <c r="C15" s="2" t="inlineStr">
        <is>
          <t>cycle_1</t>
        </is>
      </c>
      <c r="D15" s="2" t="inlineStr">
        <is>
          <t>completed</t>
        </is>
      </c>
      <c r="E15" s="2" t="inlineStr"/>
      <c r="F15" s="2" t="inlineStr"/>
      <c r="G15" s="2" t="inlineStr"/>
      <c r="H15" s="2" t="inlineStr"/>
      <c r="I15" s="2" t="inlineStr"/>
      <c r="J15" s="2" t="inlineStr"/>
      <c r="K15" s="2" t="inlineStr"/>
      <c r="L15" s="2" t="inlineStr"/>
      <c r="M15" s="6" t="inlineStr"/>
      <c r="N15" s="6" t="inlineStr"/>
      <c r="O15" s="6" t="inlineStr"/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2" t="inlineStr"/>
      <c r="X15" s="2" t="inlineStr"/>
      <c r="Y15" s="2" t="inlineStr"/>
      <c r="Z15" s="2" t="inlineStr"/>
      <c r="AA15" s="2" t="inlineStr"/>
      <c r="AB15" s="2" t="inlineStr"/>
      <c r="AC15" s="2" t="inlineStr"/>
    </row>
    <row r="16">
      <c r="A16" s="2" t="inlineStr">
        <is>
          <t>T-C1-07</t>
        </is>
      </c>
      <c r="B16" s="3" t="inlineStr">
        <is>
          <t>تنفيذ خطة التدريب (شهادات TOGAF Foundation للأعضاء)</t>
        </is>
      </c>
      <c r="C16" s="2" t="inlineStr">
        <is>
          <t>cycle_1</t>
        </is>
      </c>
      <c r="D16" s="2" t="inlineStr">
        <is>
          <t>completed</t>
        </is>
      </c>
      <c r="E16" s="2" t="inlineStr"/>
      <c r="F16" s="2" t="inlineStr"/>
      <c r="G16" s="2" t="inlineStr"/>
      <c r="H16" s="2" t="inlineStr"/>
      <c r="I16" s="2" t="inlineStr"/>
      <c r="J16" s="2" t="inlineStr"/>
      <c r="K16" s="6" t="inlineStr"/>
      <c r="L16" s="6" t="inlineStr"/>
      <c r="M16" s="6" t="inlineStr"/>
      <c r="N16" s="6" t="inlineStr"/>
      <c r="O16" s="6" t="inlineStr"/>
      <c r="P16" s="6" t="inlineStr"/>
      <c r="Q16" s="6" t="inlineStr"/>
      <c r="R16" s="6" t="inlineStr"/>
      <c r="S16" s="6" t="inlineStr"/>
      <c r="T16" s="2" t="inlineStr"/>
      <c r="U16" s="2" t="inlineStr"/>
      <c r="V16" s="2" t="inlineStr"/>
      <c r="W16" s="2" t="inlineStr"/>
      <c r="X16" s="2" t="inlineStr"/>
      <c r="Y16" s="2" t="inlineStr"/>
      <c r="Z16" s="2" t="inlineStr"/>
      <c r="AA16" s="2" t="inlineStr"/>
      <c r="AB16" s="2" t="inlineStr"/>
      <c r="AC16" s="2" t="inlineStr"/>
    </row>
    <row r="17">
      <c r="A17" s="2" t="inlineStr">
        <is>
          <t>T-C1-08</t>
        </is>
      </c>
      <c r="B17" s="3" t="inlineStr">
        <is>
          <t>إصدار التقارير الربعية لـ 2025 (Q1–Q4)</t>
        </is>
      </c>
      <c r="C17" s="2" t="inlineStr">
        <is>
          <t>cycle_1</t>
        </is>
      </c>
      <c r="D17" s="2" t="inlineStr">
        <is>
          <t>completed</t>
        </is>
      </c>
      <c r="E17" s="2" t="inlineStr"/>
      <c r="F17" s="2" t="inlineStr"/>
      <c r="G17" s="2" t="inlineStr"/>
      <c r="H17" s="2" t="inlineStr"/>
      <c r="I17" s="2" t="inlineStr"/>
      <c r="J17" s="2" t="inlineStr"/>
      <c r="K17" s="2" t="inlineStr"/>
      <c r="L17" s="2" t="inlineStr"/>
      <c r="M17" s="2" t="inlineStr"/>
      <c r="N17" s="6" t="inlineStr"/>
      <c r="O17" s="6" t="inlineStr"/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2" t="inlineStr"/>
      <c r="Y17" s="2" t="inlineStr"/>
      <c r="Z17" s="2" t="inlineStr"/>
      <c r="AA17" s="2" t="inlineStr"/>
      <c r="AB17" s="2" t="inlineStr"/>
      <c r="AC17" s="2" t="inlineStr"/>
    </row>
    <row r="18">
      <c r="A18" s="2" t="inlineStr">
        <is>
          <t>T-C1-09</t>
        </is>
      </c>
      <c r="B18" s="3" t="inlineStr">
        <is>
          <t>تقرير إغلاق الدورة الأولى</t>
        </is>
      </c>
      <c r="C18" s="2" t="inlineStr">
        <is>
          <t>cycle_1</t>
        </is>
      </c>
      <c r="D18" s="2" t="inlineStr">
        <is>
          <t>PENDING-M3</t>
        </is>
      </c>
      <c r="E18" s="2" t="inlineStr"/>
      <c r="F18" s="2" t="inlineStr"/>
      <c r="G18" s="2" t="inlineStr"/>
      <c r="H18" s="2" t="inlineStr"/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9" t="inlineStr"/>
      <c r="S18" s="9" t="inlineStr"/>
      <c r="T18" s="2" t="inlineStr"/>
      <c r="U18" s="2" t="inlineStr"/>
      <c r="V18" s="2" t="inlineStr"/>
      <c r="W18" s="2" t="inlineStr"/>
      <c r="X18" s="2" t="inlineStr"/>
      <c r="Y18" s="2" t="inlineStr"/>
      <c r="Z18" s="2" t="inlineStr"/>
      <c r="AA18" s="2" t="inlineStr"/>
      <c r="AB18" s="2" t="inlineStr"/>
      <c r="AC18" s="2" t="inlineStr"/>
    </row>
    <row r="19">
      <c r="A19" s="2" t="inlineStr">
        <is>
          <t>T-CT-01</t>
        </is>
      </c>
      <c r="B19" s="3" t="inlineStr">
        <is>
          <t>إصدار الخطة الاستراتيجية للبيانات والتحول الرقمي 2026-2028</t>
        </is>
      </c>
      <c r="C19" s="2" t="inlineStr">
        <is>
          <t>cycle_2_trigger</t>
        </is>
      </c>
      <c r="D19" s="2" t="inlineStr">
        <is>
          <t>completed</t>
        </is>
      </c>
      <c r="E19" s="2" t="inlineStr"/>
      <c r="F19" s="2" t="inlineStr"/>
      <c r="G19" s="2" t="inlineStr"/>
      <c r="H19" s="2" t="inlineStr"/>
      <c r="I19" s="2" t="inlineStr"/>
      <c r="J19" s="2" t="inlineStr"/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inlineStr"/>
      <c r="U19" s="6" t="inlineStr"/>
      <c r="V19" s="2" t="inlineStr"/>
      <c r="W19" s="2" t="inlineStr"/>
      <c r="X19" s="2" t="inlineStr"/>
      <c r="Y19" s="2" t="inlineStr"/>
      <c r="Z19" s="2" t="inlineStr"/>
      <c r="AA19" s="2" t="inlineStr"/>
      <c r="AB19" s="2" t="inlineStr"/>
      <c r="AC19" s="2" t="inlineStr"/>
    </row>
    <row r="20">
      <c r="A20" s="2" t="inlineStr">
        <is>
          <t>T-CT-02</t>
        </is>
      </c>
      <c r="B20" s="3" t="inlineStr">
        <is>
          <t>محضر اعتماد الاستراتيجية الجديدة</t>
        </is>
      </c>
      <c r="C20" s="2" t="inlineStr">
        <is>
          <t>cycle_2_trigger</t>
        </is>
      </c>
      <c r="D20" s="2" t="inlineStr">
        <is>
          <t>PENDING-M3</t>
        </is>
      </c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9" t="inlineStr"/>
      <c r="V20" s="2" t="inlineStr"/>
      <c r="W20" s="2" t="inlineStr"/>
      <c r="X20" s="2" t="inlineStr"/>
      <c r="Y20" s="2" t="inlineStr"/>
      <c r="Z20" s="2" t="inlineStr"/>
      <c r="AA20" s="2" t="inlineStr"/>
      <c r="AB20" s="2" t="inlineStr"/>
      <c r="AC20" s="2" t="inlineStr"/>
    </row>
    <row r="21">
      <c r="A21" s="2" t="inlineStr">
        <is>
          <t>T-CT-03</t>
        </is>
      </c>
      <c r="B21" s="3" t="inlineStr">
        <is>
          <t>تقرير دراسة أثر التغيير على متطلبات البنية المؤسسية</t>
        </is>
      </c>
      <c r="C21" s="2" t="inlineStr">
        <is>
          <t>cycle_2_trigger</t>
        </is>
      </c>
      <c r="D21" s="2" t="inlineStr">
        <is>
          <t>PENDING-M3</t>
        </is>
      </c>
      <c r="E21" s="2" t="inlineStr"/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inlineStr"/>
      <c r="U21" s="2" t="inlineStr"/>
      <c r="V21" s="9" t="inlineStr"/>
      <c r="W21" s="2" t="inlineStr"/>
      <c r="X21" s="2" t="inlineStr"/>
      <c r="Y21" s="2" t="inlineStr"/>
      <c r="Z21" s="2" t="inlineStr"/>
      <c r="AA21" s="2" t="inlineStr"/>
      <c r="AB21" s="2" t="inlineStr"/>
      <c r="AC21" s="2" t="inlineStr"/>
    </row>
    <row r="22">
      <c r="A22" s="2" t="inlineStr">
        <is>
          <t>T-CT-04</t>
        </is>
      </c>
      <c r="B22" s="3" t="inlineStr">
        <is>
          <t>تقرير دراسة أثر التغيير على مبادئ البنية المؤسسية</t>
        </is>
      </c>
      <c r="C22" s="2" t="inlineStr">
        <is>
          <t>cycle_2_trigger</t>
        </is>
      </c>
      <c r="D22" s="2" t="inlineStr">
        <is>
          <t>PENDING-M3</t>
        </is>
      </c>
      <c r="E22" s="2" t="inlineStr"/>
      <c r="F22" s="2" t="inlineStr"/>
      <c r="G22" s="2" t="inlineStr"/>
      <c r="H22" s="2" t="inlineStr"/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/>
      <c r="V22" s="9" t="inlineStr"/>
      <c r="W22" s="2" t="inlineStr"/>
      <c r="X22" s="2" t="inlineStr"/>
      <c r="Y22" s="2" t="inlineStr"/>
      <c r="Z22" s="2" t="inlineStr"/>
      <c r="AA22" s="2" t="inlineStr"/>
      <c r="AB22" s="2" t="inlineStr"/>
      <c r="AC22" s="2" t="inlineStr"/>
    </row>
    <row r="23">
      <c r="A23" s="2" t="inlineStr">
        <is>
          <t>T-CT-05</t>
        </is>
      </c>
      <c r="B23" s="3" t="inlineStr">
        <is>
          <t>تحديث استراتيجية البنية المؤسسية (v2)</t>
        </is>
      </c>
      <c r="C23" s="2" t="inlineStr">
        <is>
          <t>cycle_2_trigger</t>
        </is>
      </c>
      <c r="D23" s="2" t="inlineStr">
        <is>
          <t>PENDING-M3</t>
        </is>
      </c>
      <c r="E23" s="2" t="inlineStr"/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9" t="inlineStr"/>
      <c r="X23" s="2" t="inlineStr"/>
      <c r="Y23" s="2" t="inlineStr"/>
      <c r="Z23" s="2" t="inlineStr"/>
      <c r="AA23" s="2" t="inlineStr"/>
      <c r="AB23" s="2" t="inlineStr"/>
      <c r="AC23" s="2" t="inlineStr"/>
    </row>
    <row r="24">
      <c r="A24" s="2" t="inlineStr">
        <is>
          <t>T-CT-06</t>
        </is>
      </c>
      <c r="B24" s="3" t="inlineStr">
        <is>
          <t>قرار إطلاق الدورة الثانية</t>
        </is>
      </c>
      <c r="C24" s="2" t="inlineStr">
        <is>
          <t>cycle_2_trigger</t>
        </is>
      </c>
      <c r="D24" s="2" t="inlineStr">
        <is>
          <t>PENDING-M3</t>
        </is>
      </c>
      <c r="E24" s="2" t="inlineStr"/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/>
      <c r="V24" s="2" t="inlineStr"/>
      <c r="W24" s="9" t="inlineStr"/>
      <c r="X24" s="9" t="inlineStr"/>
      <c r="Y24" s="2" t="inlineStr"/>
      <c r="Z24" s="2" t="inlineStr"/>
      <c r="AA24" s="2" t="inlineStr"/>
      <c r="AB24" s="2" t="inlineStr"/>
      <c r="AC24" s="2" t="inlineStr"/>
    </row>
    <row r="25">
      <c r="A25" s="2" t="inlineStr">
        <is>
          <t>T-CT-07</t>
        </is>
      </c>
      <c r="B25" s="3" t="inlineStr">
        <is>
          <t>اجتماعات قسم البنية المؤسسية الأسبوعية (Nov 2025 – Jan 2026)</t>
        </is>
      </c>
      <c r="C25" s="2" t="inlineStr">
        <is>
          <t>cycle_2_trigger</t>
        </is>
      </c>
      <c r="D25" s="2" t="inlineStr">
        <is>
          <t>completed</t>
        </is>
      </c>
      <c r="E25" s="2" t="inlineStr"/>
      <c r="F25" s="2" t="inlineStr"/>
      <c r="G25" s="2" t="inlineStr"/>
      <c r="H25" s="2" t="inlineStr"/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/>
      <c r="T25" s="2" t="inlineStr"/>
      <c r="U25" s="6" t="inlineStr"/>
      <c r="V25" s="6" t="inlineStr"/>
      <c r="W25" s="6" t="inlineStr"/>
      <c r="X25" s="2" t="inlineStr"/>
      <c r="Y25" s="2" t="inlineStr"/>
      <c r="Z25" s="2" t="inlineStr"/>
      <c r="AA25" s="2" t="inlineStr"/>
      <c r="AB25" s="2" t="inlineStr"/>
      <c r="AC25" s="2" t="inlineStr"/>
    </row>
    <row r="26">
      <c r="A26" s="2" t="inlineStr">
        <is>
          <t>T-C2-01</t>
        </is>
      </c>
      <c r="B26" s="3" t="inlineStr">
        <is>
          <t>إصدار ميثاق الدورة الثانية</t>
        </is>
      </c>
      <c r="C26" s="2" t="inlineStr">
        <is>
          <t>cycle_2</t>
        </is>
      </c>
      <c r="D26" s="2" t="inlineStr">
        <is>
          <t>PENDING-M4</t>
        </is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/>
      <c r="V26" s="2" t="inlineStr"/>
      <c r="W26" s="2" t="inlineStr"/>
      <c r="X26" s="9" t="inlineStr"/>
      <c r="Y26" s="2" t="inlineStr"/>
      <c r="Z26" s="2" t="inlineStr"/>
      <c r="AA26" s="2" t="inlineStr"/>
      <c r="AB26" s="2" t="inlineStr"/>
      <c r="AC26" s="2" t="inlineStr"/>
    </row>
    <row r="27">
      <c r="A27" s="2" t="inlineStr">
        <is>
          <t>T-C2-02</t>
        </is>
      </c>
      <c r="B27" s="3" t="inlineStr">
        <is>
          <t>إعادة محاذاة الوضع المستقبلي للبنية المؤسسية</t>
        </is>
      </c>
      <c r="C27" s="2" t="inlineStr">
        <is>
          <t>cycle_2</t>
        </is>
      </c>
      <c r="D27" s="2" t="inlineStr">
        <is>
          <t>PENDING-M4</t>
        </is>
      </c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inlineStr"/>
      <c r="U27" s="2" t="inlineStr"/>
      <c r="V27" s="2" t="inlineStr"/>
      <c r="W27" s="2" t="inlineStr"/>
      <c r="X27" s="9" t="inlineStr"/>
      <c r="Y27" s="9" t="inlineStr"/>
      <c r="Z27" s="9" t="inlineStr"/>
      <c r="AA27" s="2" t="inlineStr"/>
      <c r="AB27" s="2" t="inlineStr"/>
      <c r="AC27" s="2" t="inlineStr"/>
    </row>
    <row r="28">
      <c r="A28" s="2" t="inlineStr">
        <is>
          <t>T-C2-03</t>
        </is>
      </c>
      <c r="B28" s="3" t="inlineStr">
        <is>
          <t>إعادة محاذاة خارطة الطريق</t>
        </is>
      </c>
      <c r="C28" s="2" t="inlineStr">
        <is>
          <t>cycle_2</t>
        </is>
      </c>
      <c r="D28" s="2" t="inlineStr">
        <is>
          <t>PENDING-M4</t>
        </is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9" t="inlineStr"/>
      <c r="AA28" s="9" t="inlineStr"/>
      <c r="AB28" s="2" t="inlineStr"/>
      <c r="AC28" s="2" t="inlineStr"/>
    </row>
    <row r="29">
      <c r="A29" s="2" t="inlineStr">
        <is>
          <t>T-C2-04</t>
        </is>
      </c>
      <c r="B29" s="3" t="inlineStr">
        <is>
          <t>تطبيق تحسينات على وثائق التأطير (بناءً على feedback دورة 1)</t>
        </is>
      </c>
      <c r="C29" s="2" t="inlineStr">
        <is>
          <t>cycle_2</t>
        </is>
      </c>
      <c r="D29" s="2" t="inlineStr">
        <is>
          <t>PENDING-M4</t>
        </is>
      </c>
      <c r="E29" s="2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9" t="inlineStr"/>
      <c r="Y29" s="9" t="inlineStr"/>
      <c r="Z29" s="9" t="inlineStr"/>
      <c r="AA29" s="9" t="inlineStr"/>
      <c r="AB29" s="9" t="inlineStr"/>
      <c r="AC29" s="2" t="inlineStr"/>
    </row>
    <row r="30">
      <c r="A30" s="2" t="inlineStr">
        <is>
          <t>T-C2-05</t>
        </is>
      </c>
      <c r="B30" s="3" t="inlineStr">
        <is>
          <t>تقرير إغلاق الدورة الثانية</t>
        </is>
      </c>
      <c r="C30" s="2" t="inlineStr">
        <is>
          <t>cycle_2</t>
        </is>
      </c>
      <c r="D30" s="2" t="inlineStr">
        <is>
          <t>PENDING-M4</t>
        </is>
      </c>
      <c r="E30" s="2" t="inlineStr"/>
      <c r="F30" s="2" t="inlineStr"/>
      <c r="G30" s="2" t="inlineStr"/>
      <c r="H30" s="2" t="inlineStr"/>
      <c r="I30" s="2" t="inlineStr"/>
      <c r="J30" s="2" t="inlineStr"/>
      <c r="K30" s="2" t="inlineStr"/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/>
      <c r="V30" s="2" t="inlineStr"/>
      <c r="W30" s="2" t="inlineStr"/>
      <c r="X30" s="2" t="inlineStr"/>
      <c r="Y30" s="2" t="inlineStr"/>
      <c r="Z30" s="2" t="inlineStr"/>
      <c r="AA30" s="2" t="inlineStr"/>
      <c r="AB30" s="9" t="inlineStr"/>
      <c r="AC30" s="2" t="inlineStr"/>
    </row>
    <row r="31">
      <c r="A31" s="2" t="inlineStr">
        <is>
          <t>T-SUB-01</t>
        </is>
      </c>
      <c r="B31" s="3" t="inlineStr">
        <is>
          <t>إصدار الميثاق العام لدورات تطوير مكونات البنية المؤسسية</t>
        </is>
      </c>
      <c r="C31" s="2" t="inlineStr">
        <is>
          <t>submission</t>
        </is>
      </c>
      <c r="D31" s="2" t="inlineStr">
        <is>
          <t>PENDING-M3</t>
        </is>
      </c>
      <c r="E31" s="2" t="inlineStr"/>
      <c r="F31" s="2" t="inlineStr"/>
      <c r="G31" s="2" t="inlineStr"/>
      <c r="H31" s="2" t="inlineStr"/>
      <c r="I31" s="2" t="inlineStr"/>
      <c r="J31" s="2" t="inlineStr"/>
      <c r="K31" s="2" t="inlineStr"/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inlineStr"/>
      <c r="U31" s="2" t="inlineStr"/>
      <c r="V31" s="2" t="inlineStr"/>
      <c r="W31" s="2" t="inlineStr"/>
      <c r="X31" s="2" t="inlineStr"/>
      <c r="Y31" s="2" t="inlineStr"/>
      <c r="Z31" s="2" t="inlineStr"/>
      <c r="AA31" s="2" t="inlineStr"/>
      <c r="AB31" s="9" t="inlineStr"/>
      <c r="AC31" s="2" t="inlineStr"/>
    </row>
    <row r="32">
      <c r="A32" s="2" t="inlineStr">
        <is>
          <t>T-SUB-02</t>
        </is>
      </c>
      <c r="B32" s="3" t="inlineStr">
        <is>
          <t>تجميع ملف التقديم (Submission Package)</t>
        </is>
      </c>
      <c r="C32" s="2" t="inlineStr">
        <is>
          <t>submission</t>
        </is>
      </c>
      <c r="D32" s="2" t="inlineStr">
        <is>
          <t>PLANNED-M5</t>
        </is>
      </c>
      <c r="E32" s="2" t="inlineStr"/>
      <c r="F32" s="2" t="inlineStr"/>
      <c r="G32" s="2" t="inlineStr"/>
      <c r="H32" s="2" t="inlineStr"/>
      <c r="I32" s="2" t="inlineStr"/>
      <c r="J32" s="2" t="inlineStr"/>
      <c r="K32" s="2" t="inlineStr"/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/>
      <c r="V32" s="2" t="inlineStr"/>
      <c r="W32" s="2" t="inlineStr"/>
      <c r="X32" s="2" t="inlineStr"/>
      <c r="Y32" s="2" t="inlineStr"/>
      <c r="Z32" s="2" t="inlineStr"/>
      <c r="AA32" s="2" t="inlineStr"/>
      <c r="AB32" s="13" t="inlineStr"/>
      <c r="AC32" s="13" t="inlineStr"/>
    </row>
    <row r="33">
      <c r="A33" s="2" t="inlineStr">
        <is>
          <t>T-SUB-03</t>
        </is>
      </c>
      <c r="B33" s="3" t="inlineStr">
        <is>
          <t>التقديم الرسمي للجنة التقييم</t>
        </is>
      </c>
      <c r="C33" s="2" t="inlineStr">
        <is>
          <t>submission</t>
        </is>
      </c>
      <c r="D33" s="2" t="inlineStr">
        <is>
          <t>PLANNED</t>
        </is>
      </c>
      <c r="E33" s="2" t="inlineStr"/>
      <c r="F33" s="2" t="inlineStr"/>
      <c r="G33" s="2" t="inlineStr"/>
      <c r="H33" s="2" t="inlineStr"/>
      <c r="I33" s="2" t="inlineStr"/>
      <c r="J33" s="2" t="inlineStr"/>
      <c r="K33" s="2" t="inlineStr"/>
      <c r="L33" s="2" t="inlineStr"/>
      <c r="M33" s="2" t="inlineStr"/>
      <c r="N33" s="2" t="inlineStr"/>
      <c r="O33" s="2" t="inlineStr"/>
      <c r="P33" s="2" t="inlineStr"/>
      <c r="Q33" s="2" t="inlineStr"/>
      <c r="R33" s="2" t="inlineStr"/>
      <c r="S33" s="2" t="inlineStr"/>
      <c r="T33" s="2" t="inlineStr"/>
      <c r="U33" s="2" t="inlineStr"/>
      <c r="V33" s="2" t="inlineStr"/>
      <c r="W33" s="2" t="inlineStr"/>
      <c r="X33" s="2" t="inlineStr"/>
      <c r="Y33" s="2" t="inlineStr"/>
      <c r="Z33" s="2" t="inlineStr"/>
      <c r="AA33" s="2" t="inlineStr"/>
      <c r="AB33" s="2" t="inlineStr"/>
      <c r="AC3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45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</cols>
  <sheetData>
    <row r="1">
      <c r="A1" s="1" t="inlineStr">
        <is>
          <t>id</t>
        </is>
      </c>
      <c r="B1" s="1" t="inlineStr">
        <is>
          <t>name_ar</t>
        </is>
      </c>
      <c r="C1" s="1" t="inlineStr">
        <is>
          <t>duration_days</t>
        </is>
      </c>
      <c r="D1" s="1" t="inlineStr">
        <is>
          <t>ES (day)</t>
        </is>
      </c>
      <c r="E1" s="1" t="inlineStr">
        <is>
          <t>EF (day)</t>
        </is>
      </c>
      <c r="F1" s="1" t="inlineStr">
        <is>
          <t>LS (day)</t>
        </is>
      </c>
      <c r="G1" s="1" t="inlineStr">
        <is>
          <t>LF (day)</t>
        </is>
      </c>
      <c r="H1" s="1" t="inlineStr">
        <is>
          <t>slack</t>
        </is>
      </c>
      <c r="I1" s="1" t="inlineStr">
        <is>
          <t>is_critical</t>
        </is>
      </c>
    </row>
    <row r="2">
      <c r="A2" s="2" t="inlineStr">
        <is>
          <t>T-F01</t>
        </is>
      </c>
      <c r="B2" s="3" t="inlineStr">
        <is>
          <t>تأسيس الوحدة التنظيمية للبنية المؤسسية</t>
        </is>
      </c>
      <c r="C2" s="2" t="n">
        <v>184</v>
      </c>
      <c r="D2" s="2" t="n">
        <v>0</v>
      </c>
      <c r="E2" s="2" t="n">
        <v>184</v>
      </c>
      <c r="F2" s="2" t="n">
        <v>590</v>
      </c>
      <c r="G2" s="2" t="n">
        <v>774</v>
      </c>
      <c r="H2" s="2" t="n">
        <v>590</v>
      </c>
      <c r="I2" s="2" t="inlineStr">
        <is>
          <t>NO</t>
        </is>
      </c>
    </row>
    <row r="3">
      <c r="A3" s="2" t="inlineStr">
        <is>
          <t>T-F01.1</t>
        </is>
      </c>
      <c r="B3" s="3" t="inlineStr">
        <is>
          <t>تشكيل فريق البنية المؤسسية</t>
        </is>
      </c>
      <c r="C3" s="2" t="n">
        <v>60</v>
      </c>
      <c r="D3" s="2" t="n">
        <v>0</v>
      </c>
      <c r="E3" s="2" t="n">
        <v>60</v>
      </c>
      <c r="F3" s="2" t="n">
        <v>32</v>
      </c>
      <c r="G3" s="2" t="n">
        <v>92</v>
      </c>
      <c r="H3" s="2" t="n">
        <v>32</v>
      </c>
      <c r="I3" s="2" t="inlineStr">
        <is>
          <t>NO</t>
        </is>
      </c>
    </row>
    <row r="4">
      <c r="A4" s="2" t="inlineStr">
        <is>
          <t>T-F01.2</t>
        </is>
      </c>
      <c r="B4" s="3" t="inlineStr">
        <is>
          <t>تعيين مدير قسم البنية المؤسسية (كبير المهندسين)</t>
        </is>
      </c>
      <c r="C4" s="2" t="n">
        <v>60</v>
      </c>
      <c r="D4" s="2" t="n">
        <v>60</v>
      </c>
      <c r="E4" s="2" t="n">
        <v>120</v>
      </c>
      <c r="F4" s="2" t="n">
        <v>592</v>
      </c>
      <c r="G4" s="2" t="n">
        <v>652</v>
      </c>
      <c r="H4" s="2" t="n">
        <v>532</v>
      </c>
      <c r="I4" s="2" t="inlineStr">
        <is>
          <t>NO</t>
        </is>
      </c>
    </row>
    <row r="5">
      <c r="A5" s="9" t="inlineStr">
        <is>
          <t>T-F01.3</t>
        </is>
      </c>
      <c r="B5" s="15" t="inlineStr">
        <is>
          <t>اعتماد الاستراتيجيات المرجعية للهيئة (الأعمال + الأمن السيبراني)</t>
        </is>
      </c>
      <c r="C5" s="9" t="n">
        <v>92</v>
      </c>
      <c r="D5" s="9" t="n">
        <v>0</v>
      </c>
      <c r="E5" s="9" t="n">
        <v>92</v>
      </c>
      <c r="F5" s="9" t="n">
        <v>0</v>
      </c>
      <c r="G5" s="9" t="n">
        <v>92</v>
      </c>
      <c r="H5" s="9" t="n">
        <v>0</v>
      </c>
      <c r="I5" s="9" t="inlineStr">
        <is>
          <t>YES</t>
        </is>
      </c>
    </row>
    <row r="6">
      <c r="A6" s="9" t="inlineStr">
        <is>
          <t>T-F01.4</t>
        </is>
      </c>
      <c r="B6" s="15" t="inlineStr">
        <is>
          <t>إعداد استراتيجية البنية المؤسسية (v1)</t>
        </is>
      </c>
      <c r="C6" s="9" t="n">
        <v>122</v>
      </c>
      <c r="D6" s="9" t="n">
        <v>92</v>
      </c>
      <c r="E6" s="9" t="n">
        <v>214</v>
      </c>
      <c r="F6" s="9" t="n">
        <v>92</v>
      </c>
      <c r="G6" s="9" t="n">
        <v>214</v>
      </c>
      <c r="H6" s="9" t="n">
        <v>0</v>
      </c>
      <c r="I6" s="9" t="inlineStr">
        <is>
          <t>YES</t>
        </is>
      </c>
    </row>
    <row r="7">
      <c r="A7" s="2" t="inlineStr">
        <is>
          <t>T-F01.5</t>
        </is>
      </c>
      <c r="B7" s="3" t="inlineStr">
        <is>
          <t>اعتماد الهيكل التنظيمي للوحدة (للهيئة + للتحول الرقمي)</t>
        </is>
      </c>
      <c r="C7" s="2" t="n">
        <v>122</v>
      </c>
      <c r="D7" s="2" t="n">
        <v>120</v>
      </c>
      <c r="E7" s="2" t="n">
        <v>242</v>
      </c>
      <c r="F7" s="2" t="n">
        <v>652</v>
      </c>
      <c r="G7" s="2" t="n">
        <v>774</v>
      </c>
      <c r="H7" s="2" t="n">
        <v>532</v>
      </c>
      <c r="I7" s="2" t="inlineStr">
        <is>
          <t>NO</t>
        </is>
      </c>
    </row>
    <row r="8">
      <c r="A8" s="9" t="inlineStr">
        <is>
          <t>T-F01.6</t>
        </is>
      </c>
      <c r="B8" s="15" t="inlineStr">
        <is>
          <t>إعداد الوثائق التأطيرية (سياسة + مبادئ + مناظير + نماذج مرجعية)</t>
        </is>
      </c>
      <c r="C8" s="9" t="n">
        <v>92</v>
      </c>
      <c r="D8" s="9" t="n">
        <v>214</v>
      </c>
      <c r="E8" s="9" t="n">
        <v>306</v>
      </c>
      <c r="F8" s="9" t="n">
        <v>214</v>
      </c>
      <c r="G8" s="9" t="n">
        <v>306</v>
      </c>
      <c r="H8" s="9" t="n">
        <v>0</v>
      </c>
      <c r="I8" s="9" t="inlineStr">
        <is>
          <t>YES</t>
        </is>
      </c>
    </row>
    <row r="9">
      <c r="A9" s="2" t="inlineStr">
        <is>
          <t>T-F01.7</t>
        </is>
      </c>
      <c r="B9" s="3" t="inlineStr">
        <is>
          <t>إعداد النموذج التشغيلي + الخطة التشغيلية + خطط التوعية والتدريب</t>
        </is>
      </c>
      <c r="C9" s="2" t="n">
        <v>61</v>
      </c>
      <c r="D9" s="2" t="n">
        <v>306</v>
      </c>
      <c r="E9" s="2" t="n">
        <v>367</v>
      </c>
      <c r="F9" s="2" t="n">
        <v>407</v>
      </c>
      <c r="G9" s="2" t="n">
        <v>468</v>
      </c>
      <c r="H9" s="2" t="n">
        <v>101</v>
      </c>
      <c r="I9" s="2" t="inlineStr">
        <is>
          <t>NO</t>
        </is>
      </c>
    </row>
    <row r="10">
      <c r="A10" s="9" t="inlineStr">
        <is>
          <t>T-C1-01</t>
        </is>
      </c>
      <c r="B10" s="15" t="inlineStr">
        <is>
          <t>تحليل الوضع الحالي (الأعمال + التطبيقات + البيانات)</t>
        </is>
      </c>
      <c r="C10" s="9" t="n">
        <v>120</v>
      </c>
      <c r="D10" s="9" t="n">
        <v>306</v>
      </c>
      <c r="E10" s="9" t="n">
        <v>426</v>
      </c>
      <c r="F10" s="9" t="n">
        <v>306</v>
      </c>
      <c r="G10" s="9" t="n">
        <v>426</v>
      </c>
      <c r="H10" s="9" t="n">
        <v>0</v>
      </c>
      <c r="I10" s="9" t="inlineStr">
        <is>
          <t>YES</t>
        </is>
      </c>
    </row>
    <row r="11">
      <c r="A11" s="9" t="inlineStr">
        <is>
          <t>T-C1-02</t>
        </is>
      </c>
      <c r="B11" s="15" t="inlineStr">
        <is>
          <t>تحديد الوضع المستقبلي (الأعمال + التطبيقات + البيانات + التكنولوجيا)</t>
        </is>
      </c>
      <c r="C11" s="9" t="n">
        <v>89</v>
      </c>
      <c r="D11" s="9" t="n">
        <v>426</v>
      </c>
      <c r="E11" s="9" t="n">
        <v>515</v>
      </c>
      <c r="F11" s="9" t="n">
        <v>426</v>
      </c>
      <c r="G11" s="9" t="n">
        <v>515</v>
      </c>
      <c r="H11" s="9" t="n">
        <v>0</v>
      </c>
      <c r="I11" s="9" t="inlineStr">
        <is>
          <t>YES</t>
        </is>
      </c>
    </row>
    <row r="12">
      <c r="A12" s="9" t="inlineStr">
        <is>
          <t>T-C1-03</t>
        </is>
      </c>
      <c r="B12" s="15" t="inlineStr">
        <is>
          <t>تحليل الفجوات</t>
        </is>
      </c>
      <c r="C12" s="9" t="n">
        <v>30</v>
      </c>
      <c r="D12" s="9" t="n">
        <v>515</v>
      </c>
      <c r="E12" s="9" t="n">
        <v>545</v>
      </c>
      <c r="F12" s="9" t="n">
        <v>515</v>
      </c>
      <c r="G12" s="9" t="n">
        <v>545</v>
      </c>
      <c r="H12" s="9" t="n">
        <v>0</v>
      </c>
      <c r="I12" s="9" t="inlineStr">
        <is>
          <t>YES</t>
        </is>
      </c>
    </row>
    <row r="13">
      <c r="A13" s="2" t="inlineStr">
        <is>
          <t>T-C1-04</t>
        </is>
      </c>
      <c r="B13" s="3" t="inlineStr">
        <is>
          <t>تطوير خارطة طريق التحول الرقمي</t>
        </is>
      </c>
      <c r="C13" s="2" t="n">
        <v>92</v>
      </c>
      <c r="D13" s="2" t="n">
        <v>545</v>
      </c>
      <c r="E13" s="2" t="n">
        <v>637</v>
      </c>
      <c r="F13" s="2" t="n">
        <v>575</v>
      </c>
      <c r="G13" s="2" t="n">
        <v>667</v>
      </c>
      <c r="H13" s="2" t="n">
        <v>30</v>
      </c>
      <c r="I13" s="2" t="inlineStr">
        <is>
          <t>NO</t>
        </is>
      </c>
    </row>
    <row r="14">
      <c r="A14" s="9" t="inlineStr">
        <is>
          <t>T-C1-05</t>
        </is>
      </c>
      <c r="B14" s="15" t="inlineStr">
        <is>
          <t>إصدار وثيقة متطلبات البنية المؤسسية + سجل المتطلبات</t>
        </is>
      </c>
      <c r="C14" s="9" t="n">
        <v>122</v>
      </c>
      <c r="D14" s="9" t="n">
        <v>545</v>
      </c>
      <c r="E14" s="9" t="n">
        <v>667</v>
      </c>
      <c r="F14" s="9" t="n">
        <v>545</v>
      </c>
      <c r="G14" s="9" t="n">
        <v>667</v>
      </c>
      <c r="H14" s="9" t="n">
        <v>0</v>
      </c>
      <c r="I14" s="9" t="inlineStr">
        <is>
          <t>YES</t>
        </is>
      </c>
    </row>
    <row r="15">
      <c r="A15" s="2" t="inlineStr">
        <is>
          <t>T-C1-06</t>
        </is>
      </c>
      <c r="B15" s="3" t="inlineStr">
        <is>
          <t>تنفيذ خطة التوعية (ورش + فيديوهات + نشرات + استبيانات)</t>
        </is>
      </c>
      <c r="C15" s="2" t="n">
        <v>306</v>
      </c>
      <c r="D15" s="2" t="n">
        <v>367</v>
      </c>
      <c r="E15" s="2" t="n">
        <v>673</v>
      </c>
      <c r="F15" s="2" t="n">
        <v>468</v>
      </c>
      <c r="G15" s="2" t="n">
        <v>774</v>
      </c>
      <c r="H15" s="2" t="n">
        <v>101</v>
      </c>
      <c r="I15" s="2" t="inlineStr">
        <is>
          <t>NO</t>
        </is>
      </c>
    </row>
    <row r="16">
      <c r="A16" s="2" t="inlineStr">
        <is>
          <t>T-C1-07</t>
        </is>
      </c>
      <c r="B16" s="3" t="inlineStr">
        <is>
          <t>تنفيذ خطة التدريب (شهادات TOGAF Foundation للأعضاء)</t>
        </is>
      </c>
      <c r="C16" s="2" t="n">
        <v>273</v>
      </c>
      <c r="D16" s="2" t="n">
        <v>367</v>
      </c>
      <c r="E16" s="2" t="n">
        <v>640</v>
      </c>
      <c r="F16" s="2" t="n">
        <v>501</v>
      </c>
      <c r="G16" s="2" t="n">
        <v>774</v>
      </c>
      <c r="H16" s="2" t="n">
        <v>134</v>
      </c>
      <c r="I16" s="2" t="inlineStr">
        <is>
          <t>NO</t>
        </is>
      </c>
    </row>
    <row r="17">
      <c r="A17" s="2" t="inlineStr">
        <is>
          <t>T-C1-08</t>
        </is>
      </c>
      <c r="B17" s="3" t="inlineStr">
        <is>
          <t>إصدار التقارير الربعية لـ 2025 (Q1–Q4)</t>
        </is>
      </c>
      <c r="C17" s="2" t="n">
        <v>305</v>
      </c>
      <c r="D17" s="2" t="n">
        <v>367</v>
      </c>
      <c r="E17" s="2" t="n">
        <v>672</v>
      </c>
      <c r="F17" s="2" t="n">
        <v>469</v>
      </c>
      <c r="G17" s="2" t="n">
        <v>774</v>
      </c>
      <c r="H17" s="2" t="n">
        <v>102</v>
      </c>
      <c r="I17" s="2" t="inlineStr">
        <is>
          <t>NO</t>
        </is>
      </c>
    </row>
    <row r="18">
      <c r="A18" s="9" t="inlineStr">
        <is>
          <t>T-C1-09</t>
        </is>
      </c>
      <c r="B18" s="15" t="inlineStr">
        <is>
          <t>تقرير إغلاق الدورة الأولى</t>
        </is>
      </c>
      <c r="C18" s="9" t="n">
        <v>60</v>
      </c>
      <c r="D18" s="9" t="n">
        <v>667</v>
      </c>
      <c r="E18" s="9" t="n">
        <v>727</v>
      </c>
      <c r="F18" s="9" t="n">
        <v>667</v>
      </c>
      <c r="G18" s="9" t="n">
        <v>727</v>
      </c>
      <c r="H18" s="9" t="n">
        <v>0</v>
      </c>
      <c r="I18" s="9" t="inlineStr">
        <is>
          <t>YES</t>
        </is>
      </c>
    </row>
    <row r="19">
      <c r="A19" s="2" t="inlineStr">
        <is>
          <t>T-CT-01</t>
        </is>
      </c>
      <c r="B19" s="3" t="inlineStr">
        <is>
          <t>إصدار الخطة الاستراتيجية للبيانات والتحول الرقمي 2026-2028</t>
        </is>
      </c>
      <c r="C19" s="2" t="n">
        <v>30</v>
      </c>
      <c r="D19" s="2" t="n">
        <v>0</v>
      </c>
      <c r="E19" s="2" t="n">
        <v>30</v>
      </c>
      <c r="F19" s="2" t="n">
        <v>412</v>
      </c>
      <c r="G19" s="2" t="n">
        <v>442</v>
      </c>
      <c r="H19" s="2" t="n">
        <v>412</v>
      </c>
      <c r="I19" s="2" t="inlineStr">
        <is>
          <t>NO</t>
        </is>
      </c>
    </row>
    <row r="20">
      <c r="A20" s="2" t="inlineStr">
        <is>
          <t>T-CT-02</t>
        </is>
      </c>
      <c r="B20" s="3" t="inlineStr">
        <is>
          <t>محضر اعتماد الاستراتيجية الجديدة</t>
        </is>
      </c>
      <c r="C20" s="2" t="n">
        <v>15</v>
      </c>
      <c r="D20" s="2" t="n">
        <v>30</v>
      </c>
      <c r="E20" s="2" t="n">
        <v>45</v>
      </c>
      <c r="F20" s="2" t="n">
        <v>457</v>
      </c>
      <c r="G20" s="2" t="n">
        <v>472</v>
      </c>
      <c r="H20" s="2" t="n">
        <v>427</v>
      </c>
      <c r="I20" s="2" t="inlineStr">
        <is>
          <t>NO</t>
        </is>
      </c>
    </row>
    <row r="21">
      <c r="A21" s="2" t="inlineStr">
        <is>
          <t>T-CT-03</t>
        </is>
      </c>
      <c r="B21" s="3" t="inlineStr">
        <is>
          <t>تقرير دراسة أثر التغيير على متطلبات البنية المؤسسية</t>
        </is>
      </c>
      <c r="C21" s="2" t="n">
        <v>30</v>
      </c>
      <c r="D21" s="2" t="n">
        <v>30</v>
      </c>
      <c r="E21" s="2" t="n">
        <v>60</v>
      </c>
      <c r="F21" s="2" t="n">
        <v>442</v>
      </c>
      <c r="G21" s="2" t="n">
        <v>472</v>
      </c>
      <c r="H21" s="2" t="n">
        <v>412</v>
      </c>
      <c r="I21" s="2" t="inlineStr">
        <is>
          <t>NO</t>
        </is>
      </c>
    </row>
    <row r="22">
      <c r="A22" s="2" t="inlineStr">
        <is>
          <t>T-CT-04</t>
        </is>
      </c>
      <c r="B22" s="3" t="inlineStr">
        <is>
          <t>تقرير دراسة أثر التغيير على مبادئ البنية المؤسسية</t>
        </is>
      </c>
      <c r="C22" s="2" t="n">
        <v>30</v>
      </c>
      <c r="D22" s="2" t="n">
        <v>30</v>
      </c>
      <c r="E22" s="2" t="n">
        <v>60</v>
      </c>
      <c r="F22" s="2" t="n">
        <v>442</v>
      </c>
      <c r="G22" s="2" t="n">
        <v>472</v>
      </c>
      <c r="H22" s="2" t="n">
        <v>412</v>
      </c>
      <c r="I22" s="2" t="inlineStr">
        <is>
          <t>NO</t>
        </is>
      </c>
    </row>
    <row r="23">
      <c r="A23" s="2" t="inlineStr">
        <is>
          <t>T-CT-05</t>
        </is>
      </c>
      <c r="B23" s="3" t="inlineStr">
        <is>
          <t>تحديث استراتيجية البنية المؤسسية (v2)</t>
        </is>
      </c>
      <c r="C23" s="2" t="n">
        <v>30</v>
      </c>
      <c r="D23" s="2" t="n">
        <v>60</v>
      </c>
      <c r="E23" s="2" t="n">
        <v>90</v>
      </c>
      <c r="F23" s="2" t="n">
        <v>472</v>
      </c>
      <c r="G23" s="2" t="n">
        <v>502</v>
      </c>
      <c r="H23" s="2" t="n">
        <v>412</v>
      </c>
      <c r="I23" s="2" t="inlineStr">
        <is>
          <t>NO</t>
        </is>
      </c>
    </row>
    <row r="24">
      <c r="A24" s="2" t="inlineStr">
        <is>
          <t>T-CT-06</t>
        </is>
      </c>
      <c r="B24" s="3" t="inlineStr">
        <is>
          <t>قرار إطلاق الدورة الثانية</t>
        </is>
      </c>
      <c r="C24" s="2" t="n">
        <v>31</v>
      </c>
      <c r="D24" s="2" t="n">
        <v>90</v>
      </c>
      <c r="E24" s="2" t="n">
        <v>121</v>
      </c>
      <c r="F24" s="2" t="n">
        <v>502</v>
      </c>
      <c r="G24" s="2" t="n">
        <v>533</v>
      </c>
      <c r="H24" s="2" t="n">
        <v>412</v>
      </c>
      <c r="I24" s="2" t="inlineStr">
        <is>
          <t>NO</t>
        </is>
      </c>
    </row>
    <row r="25">
      <c r="A25" s="2" t="inlineStr">
        <is>
          <t>T-CT-07</t>
        </is>
      </c>
      <c r="B25" s="3" t="inlineStr">
        <is>
          <t>اجتماعات قسم البنية المؤسسية الأسبوعية (Nov 2025 – Jan 2026)</t>
        </is>
      </c>
      <c r="C25" s="2" t="n">
        <v>71</v>
      </c>
      <c r="D25" s="2" t="n">
        <v>0</v>
      </c>
      <c r="E25" s="2" t="n">
        <v>71</v>
      </c>
      <c r="F25" s="2" t="n">
        <v>703</v>
      </c>
      <c r="G25" s="2" t="n">
        <v>774</v>
      </c>
      <c r="H25" s="2" t="n">
        <v>703</v>
      </c>
      <c r="I25" s="2" t="inlineStr">
        <is>
          <t>NO</t>
        </is>
      </c>
    </row>
    <row r="26">
      <c r="A26" s="2" t="inlineStr">
        <is>
          <t>T-C2-01</t>
        </is>
      </c>
      <c r="B26" s="3" t="inlineStr">
        <is>
          <t>إصدار ميثاق الدورة الثانية</t>
        </is>
      </c>
      <c r="C26" s="2" t="n">
        <v>28</v>
      </c>
      <c r="D26" s="2" t="n">
        <v>121</v>
      </c>
      <c r="E26" s="2" t="n">
        <v>149</v>
      </c>
      <c r="F26" s="2" t="n">
        <v>533</v>
      </c>
      <c r="G26" s="2" t="n">
        <v>561</v>
      </c>
      <c r="H26" s="2" t="n">
        <v>412</v>
      </c>
      <c r="I26" s="2" t="inlineStr">
        <is>
          <t>NO</t>
        </is>
      </c>
    </row>
    <row r="27">
      <c r="A27" s="2" t="inlineStr">
        <is>
          <t>T-C2-02</t>
        </is>
      </c>
      <c r="B27" s="3" t="inlineStr">
        <is>
          <t>إعادة محاذاة الوضع المستقبلي للبنية المؤسسية</t>
        </is>
      </c>
      <c r="C27" s="2" t="n">
        <v>75</v>
      </c>
      <c r="D27" s="2" t="n">
        <v>149</v>
      </c>
      <c r="E27" s="2" t="n">
        <v>224</v>
      </c>
      <c r="F27" s="2" t="n">
        <v>576</v>
      </c>
      <c r="G27" s="2" t="n">
        <v>651</v>
      </c>
      <c r="H27" s="2" t="n">
        <v>427</v>
      </c>
      <c r="I27" s="2" t="inlineStr">
        <is>
          <t>NO</t>
        </is>
      </c>
    </row>
    <row r="28">
      <c r="A28" s="2" t="inlineStr">
        <is>
          <t>T-C2-03</t>
        </is>
      </c>
      <c r="B28" s="3" t="inlineStr">
        <is>
          <t>إعادة محاذاة خارطة الطريق</t>
        </is>
      </c>
      <c r="C28" s="2" t="n">
        <v>60</v>
      </c>
      <c r="D28" s="2" t="n">
        <v>224</v>
      </c>
      <c r="E28" s="2" t="n">
        <v>284</v>
      </c>
      <c r="F28" s="2" t="n">
        <v>651</v>
      </c>
      <c r="G28" s="2" t="n">
        <v>711</v>
      </c>
      <c r="H28" s="2" t="n">
        <v>427</v>
      </c>
      <c r="I28" s="2" t="inlineStr">
        <is>
          <t>NO</t>
        </is>
      </c>
    </row>
    <row r="29">
      <c r="A29" s="2" t="inlineStr">
        <is>
          <t>T-C2-04</t>
        </is>
      </c>
      <c r="B29" s="3" t="inlineStr">
        <is>
          <t>تطبيق تحسينات على وثائق التأطير (بناءً على feedback دورة 1)</t>
        </is>
      </c>
      <c r="C29" s="2" t="n">
        <v>150</v>
      </c>
      <c r="D29" s="2" t="n">
        <v>149</v>
      </c>
      <c r="E29" s="2" t="n">
        <v>299</v>
      </c>
      <c r="F29" s="2" t="n">
        <v>561</v>
      </c>
      <c r="G29" s="2" t="n">
        <v>711</v>
      </c>
      <c r="H29" s="2" t="n">
        <v>412</v>
      </c>
      <c r="I29" s="2" t="inlineStr">
        <is>
          <t>NO</t>
        </is>
      </c>
    </row>
    <row r="30">
      <c r="A30" s="2" t="inlineStr">
        <is>
          <t>T-C2-05</t>
        </is>
      </c>
      <c r="B30" s="3" t="inlineStr">
        <is>
          <t>تقرير إغلاق الدورة الثانية</t>
        </is>
      </c>
      <c r="C30" s="2" t="n">
        <v>16</v>
      </c>
      <c r="D30" s="2" t="n">
        <v>299</v>
      </c>
      <c r="E30" s="2" t="n">
        <v>315</v>
      </c>
      <c r="F30" s="2" t="n">
        <v>711</v>
      </c>
      <c r="G30" s="2" t="n">
        <v>727</v>
      </c>
      <c r="H30" s="2" t="n">
        <v>412</v>
      </c>
      <c r="I30" s="2" t="inlineStr">
        <is>
          <t>NO</t>
        </is>
      </c>
    </row>
    <row r="31">
      <c r="A31" s="2" t="inlineStr">
        <is>
          <t>T-SUB-01</t>
        </is>
      </c>
      <c r="B31" s="3" t="inlineStr">
        <is>
          <t>إصدار الميثاق العام لدورات تطوير مكونات البنية المؤسسية</t>
        </is>
      </c>
      <c r="C31" s="2" t="n">
        <v>15</v>
      </c>
      <c r="D31" s="2" t="n">
        <v>0</v>
      </c>
      <c r="E31" s="2" t="n">
        <v>15</v>
      </c>
      <c r="F31" s="2" t="n">
        <v>712</v>
      </c>
      <c r="G31" s="2" t="n">
        <v>727</v>
      </c>
      <c r="H31" s="2" t="n">
        <v>712</v>
      </c>
      <c r="I31" s="2" t="inlineStr">
        <is>
          <t>NO</t>
        </is>
      </c>
    </row>
    <row r="32">
      <c r="A32" s="9" t="inlineStr">
        <is>
          <t>T-SUB-02</t>
        </is>
      </c>
      <c r="B32" s="15" t="inlineStr">
        <is>
          <t>تجميع ملف التقديم (Submission Package)</t>
        </is>
      </c>
      <c r="C32" s="9" t="n">
        <v>31</v>
      </c>
      <c r="D32" s="9" t="n">
        <v>727</v>
      </c>
      <c r="E32" s="9" t="n">
        <v>758</v>
      </c>
      <c r="F32" s="9" t="n">
        <v>727</v>
      </c>
      <c r="G32" s="9" t="n">
        <v>758</v>
      </c>
      <c r="H32" s="9" t="n">
        <v>0</v>
      </c>
      <c r="I32" s="9" t="inlineStr">
        <is>
          <t>YES</t>
        </is>
      </c>
    </row>
    <row r="33">
      <c r="A33" s="9" t="inlineStr">
        <is>
          <t>T-SUB-03</t>
        </is>
      </c>
      <c r="B33" s="15" t="inlineStr">
        <is>
          <t>التقديم الرسمي للجنة التقييم</t>
        </is>
      </c>
      <c r="C33" s="9" t="n">
        <v>16</v>
      </c>
      <c r="D33" s="9" t="n">
        <v>758</v>
      </c>
      <c r="E33" s="9" t="n">
        <v>774</v>
      </c>
      <c r="F33" s="9" t="n">
        <v>758</v>
      </c>
      <c r="G33" s="9" t="n">
        <v>774</v>
      </c>
      <c r="H33" s="9" t="n">
        <v>0</v>
      </c>
      <c r="I33" s="9" t="inlineStr">
        <is>
          <t>YES</t>
        </is>
      </c>
    </row>
    <row r="34"/>
    <row r="35">
      <c r="A35" s="16" t="inlineStr">
        <is>
          <t>Project finish (days from start):</t>
        </is>
      </c>
      <c r="D35" s="16" t="n">
        <v>774</v>
      </c>
    </row>
    <row r="36">
      <c r="A36" s="16" t="inlineStr">
        <is>
          <t>Critical path task count:</t>
        </is>
      </c>
      <c r="D36" s="16" t="n">
        <v>10</v>
      </c>
    </row>
    <row r="37">
      <c r="A37" s="16" t="inlineStr">
        <is>
          <t>Total tasks:</t>
        </is>
      </c>
      <c r="D37" s="16" t="n">
        <v>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45" customWidth="1" min="2" max="2"/>
    <col width="16" customWidth="1" min="3" max="3"/>
    <col width="14" customWidth="1" min="4" max="4"/>
    <col width="15" customWidth="1" min="5" max="5"/>
    <col width="19" customWidth="1" min="6" max="6"/>
    <col width="16" customWidth="1" min="7" max="7"/>
    <col width="14" customWidth="1" min="8" max="8"/>
    <col width="13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name_ar</t>
        </is>
      </c>
      <c r="C1" s="1" t="inlineStr">
        <is>
          <t>baseline_start</t>
        </is>
      </c>
      <c r="D1" s="1" t="inlineStr">
        <is>
          <t>baseline_end</t>
        </is>
      </c>
      <c r="E1" s="1" t="inlineStr">
        <is>
          <t>duration_days</t>
        </is>
      </c>
      <c r="F1" s="1" t="inlineStr">
        <is>
          <t>slip_days (input)</t>
        </is>
      </c>
      <c r="G1" s="1" t="inlineStr">
        <is>
          <t>adjusted_start</t>
        </is>
      </c>
      <c r="H1" s="1" t="inlineStr">
        <is>
          <t>adjusted_end</t>
        </is>
      </c>
      <c r="I1" s="1" t="inlineStr">
        <is>
          <t>is_critical</t>
        </is>
      </c>
      <c r="J1" s="1" t="inlineStr">
        <is>
          <t>status</t>
        </is>
      </c>
    </row>
    <row r="2">
      <c r="A2" s="2" t="inlineStr">
        <is>
          <t>T-F01</t>
        </is>
      </c>
      <c r="B2" s="3" t="inlineStr">
        <is>
          <t>تأسيس الوحدة التنظيمية للبنية المؤسسية</t>
        </is>
      </c>
      <c r="C2" s="5" t="n">
        <v>45474</v>
      </c>
      <c r="D2" s="5" t="n">
        <v>45657</v>
      </c>
      <c r="E2" s="2" t="n">
        <v>184</v>
      </c>
      <c r="F2" s="2" t="n">
        <v>0</v>
      </c>
      <c r="G2" s="5">
        <f>C2+F2</f>
        <v/>
      </c>
      <c r="H2" s="5">
        <f>D2+F2</f>
        <v/>
      </c>
      <c r="I2" s="2" t="inlineStr">
        <is>
          <t>NO</t>
        </is>
      </c>
      <c r="J2" s="6" t="inlineStr">
        <is>
          <t>completed</t>
        </is>
      </c>
    </row>
    <row r="3">
      <c r="A3" s="2" t="inlineStr">
        <is>
          <t>T-F01.1</t>
        </is>
      </c>
      <c r="B3" s="3" t="inlineStr">
        <is>
          <t>تشكيل فريق البنية المؤسسية</t>
        </is>
      </c>
      <c r="C3" s="5" t="n">
        <v>45505</v>
      </c>
      <c r="D3" s="5" t="n">
        <v>45565</v>
      </c>
      <c r="E3" s="2" t="n">
        <v>60</v>
      </c>
      <c r="F3" s="2" t="n">
        <v>0</v>
      </c>
      <c r="G3" s="5">
        <f>C3+F3</f>
        <v/>
      </c>
      <c r="H3" s="5">
        <f>D3+F3</f>
        <v/>
      </c>
      <c r="I3" s="2" t="inlineStr">
        <is>
          <t>NO</t>
        </is>
      </c>
      <c r="J3" s="6" t="inlineStr">
        <is>
          <t>completed</t>
        </is>
      </c>
    </row>
    <row r="4">
      <c r="A4" s="2" t="inlineStr">
        <is>
          <t>T-F01.2</t>
        </is>
      </c>
      <c r="B4" s="3" t="inlineStr">
        <is>
          <t>تعيين مدير قسم البنية المؤسسية (كبير المهندسين)</t>
        </is>
      </c>
      <c r="C4" s="5" t="n">
        <v>45536</v>
      </c>
      <c r="D4" s="5" t="n">
        <v>45596</v>
      </c>
      <c r="E4" s="2" t="n">
        <v>60</v>
      </c>
      <c r="F4" s="2" t="n">
        <v>0</v>
      </c>
      <c r="G4" s="5">
        <f>C4+F4</f>
        <v/>
      </c>
      <c r="H4" s="5">
        <f>D4+F4</f>
        <v/>
      </c>
      <c r="I4" s="2" t="inlineStr">
        <is>
          <t>NO</t>
        </is>
      </c>
      <c r="J4" s="6" t="inlineStr">
        <is>
          <t>completed</t>
        </is>
      </c>
    </row>
    <row r="5">
      <c r="A5" s="17" t="inlineStr">
        <is>
          <t>T-F01.3</t>
        </is>
      </c>
      <c r="B5" s="18" t="inlineStr">
        <is>
          <t>اعتماد الاستراتيجيات المرجعية للهيئة (الأعمال + الأمن السيبراني)</t>
        </is>
      </c>
      <c r="C5" s="19" t="n">
        <v>45474</v>
      </c>
      <c r="D5" s="19" t="n">
        <v>45565</v>
      </c>
      <c r="E5" s="17" t="n">
        <v>92</v>
      </c>
      <c r="F5" s="17" t="n">
        <v>0</v>
      </c>
      <c r="G5" s="19">
        <f>C5+F5</f>
        <v/>
      </c>
      <c r="H5" s="19">
        <f>D5+F5</f>
        <v/>
      </c>
      <c r="I5" s="17" t="inlineStr">
        <is>
          <t>YES</t>
        </is>
      </c>
      <c r="J5" s="6" t="inlineStr">
        <is>
          <t>completed</t>
        </is>
      </c>
    </row>
    <row r="6">
      <c r="A6" s="17" t="inlineStr">
        <is>
          <t>T-F01.4</t>
        </is>
      </c>
      <c r="B6" s="18" t="inlineStr">
        <is>
          <t>إعداد استراتيجية البنية المؤسسية (v1)</t>
        </is>
      </c>
      <c r="C6" s="19" t="n">
        <v>45536</v>
      </c>
      <c r="D6" s="19" t="n">
        <v>45657</v>
      </c>
      <c r="E6" s="17" t="n">
        <v>122</v>
      </c>
      <c r="F6" s="17" t="n">
        <v>0</v>
      </c>
      <c r="G6" s="19">
        <f>C6+F6</f>
        <v/>
      </c>
      <c r="H6" s="19">
        <f>D6+F6</f>
        <v/>
      </c>
      <c r="I6" s="17" t="inlineStr">
        <is>
          <t>YES</t>
        </is>
      </c>
      <c r="J6" s="6" t="inlineStr">
        <is>
          <t>completed</t>
        </is>
      </c>
    </row>
    <row r="7">
      <c r="A7" s="2" t="inlineStr">
        <is>
          <t>T-F01.5</t>
        </is>
      </c>
      <c r="B7" s="3" t="inlineStr">
        <is>
          <t>اعتماد الهيكل التنظيمي للوحدة (للهيئة + للتحول الرقمي)</t>
        </is>
      </c>
      <c r="C7" s="5" t="n">
        <v>45536</v>
      </c>
      <c r="D7" s="5" t="n">
        <v>45657</v>
      </c>
      <c r="E7" s="2" t="n">
        <v>122</v>
      </c>
      <c r="F7" s="2" t="n">
        <v>0</v>
      </c>
      <c r="G7" s="5">
        <f>C7+F7</f>
        <v/>
      </c>
      <c r="H7" s="5">
        <f>D7+F7</f>
        <v/>
      </c>
      <c r="I7" s="2" t="inlineStr">
        <is>
          <t>NO</t>
        </is>
      </c>
      <c r="J7" s="6" t="inlineStr">
        <is>
          <t>completed</t>
        </is>
      </c>
    </row>
    <row r="8">
      <c r="A8" s="17" t="inlineStr">
        <is>
          <t>T-F01.6</t>
        </is>
      </c>
      <c r="B8" s="18" t="inlineStr">
        <is>
          <t>إعداد الوثائق التأطيرية (سياسة + مبادئ + مناظير + نماذج مرجعية)</t>
        </is>
      </c>
      <c r="C8" s="19" t="n">
        <v>45566</v>
      </c>
      <c r="D8" s="19" t="n">
        <v>45657</v>
      </c>
      <c r="E8" s="17" t="n">
        <v>92</v>
      </c>
      <c r="F8" s="17" t="n">
        <v>0</v>
      </c>
      <c r="G8" s="19">
        <f>C8+F8</f>
        <v/>
      </c>
      <c r="H8" s="19">
        <f>D8+F8</f>
        <v/>
      </c>
      <c r="I8" s="17" t="inlineStr">
        <is>
          <t>YES</t>
        </is>
      </c>
      <c r="J8" s="6" t="inlineStr">
        <is>
          <t>completed</t>
        </is>
      </c>
    </row>
    <row r="9">
      <c r="A9" s="2" t="inlineStr">
        <is>
          <t>T-F01.7</t>
        </is>
      </c>
      <c r="B9" s="3" t="inlineStr">
        <is>
          <t>إعداد النموذج التشغيلي + الخطة التشغيلية + خطط التوعية والتدريب</t>
        </is>
      </c>
      <c r="C9" s="5" t="n">
        <v>45597</v>
      </c>
      <c r="D9" s="5" t="n">
        <v>45657</v>
      </c>
      <c r="E9" s="2" t="n">
        <v>61</v>
      </c>
      <c r="F9" s="2" t="n">
        <v>0</v>
      </c>
      <c r="G9" s="5">
        <f>C9+F9</f>
        <v/>
      </c>
      <c r="H9" s="5">
        <f>D9+F9</f>
        <v/>
      </c>
      <c r="I9" s="2" t="inlineStr">
        <is>
          <t>NO</t>
        </is>
      </c>
      <c r="J9" s="6" t="inlineStr">
        <is>
          <t>completed</t>
        </is>
      </c>
    </row>
    <row r="10">
      <c r="A10" s="17" t="inlineStr">
        <is>
          <t>T-C1-01</t>
        </is>
      </c>
      <c r="B10" s="18" t="inlineStr">
        <is>
          <t>تحليل الوضع الحالي (الأعمال + التطبيقات + البيانات)</t>
        </is>
      </c>
      <c r="C10" s="19" t="n">
        <v>45658</v>
      </c>
      <c r="D10" s="19" t="n">
        <v>45777</v>
      </c>
      <c r="E10" s="17" t="n">
        <v>120</v>
      </c>
      <c r="F10" s="17" t="n">
        <v>0</v>
      </c>
      <c r="G10" s="19">
        <f>C10+F10</f>
        <v/>
      </c>
      <c r="H10" s="19">
        <f>D10+F10</f>
        <v/>
      </c>
      <c r="I10" s="17" t="inlineStr">
        <is>
          <t>YES</t>
        </is>
      </c>
      <c r="J10" s="8" t="inlineStr">
        <is>
          <t>completed-no-formal-doc</t>
        </is>
      </c>
    </row>
    <row r="11">
      <c r="A11" s="17" t="inlineStr">
        <is>
          <t>T-C1-02</t>
        </is>
      </c>
      <c r="B11" s="18" t="inlineStr">
        <is>
          <t>تحديد الوضع المستقبلي (الأعمال + التطبيقات + البيانات + التكنولوجيا)</t>
        </is>
      </c>
      <c r="C11" s="19" t="n">
        <v>45689</v>
      </c>
      <c r="D11" s="19" t="n">
        <v>45777</v>
      </c>
      <c r="E11" s="17" t="n">
        <v>89</v>
      </c>
      <c r="F11" s="17" t="n">
        <v>0</v>
      </c>
      <c r="G11" s="19">
        <f>C11+F11</f>
        <v/>
      </c>
      <c r="H11" s="19">
        <f>D11+F11</f>
        <v/>
      </c>
      <c r="I11" s="17" t="inlineStr">
        <is>
          <t>YES</t>
        </is>
      </c>
      <c r="J11" s="8" t="inlineStr">
        <is>
          <t>completed-no-formal-doc</t>
        </is>
      </c>
    </row>
    <row r="12">
      <c r="A12" s="17" t="inlineStr">
        <is>
          <t>T-C1-03</t>
        </is>
      </c>
      <c r="B12" s="18" t="inlineStr">
        <is>
          <t>تحليل الفجوات</t>
        </is>
      </c>
      <c r="C12" s="19" t="n">
        <v>45748</v>
      </c>
      <c r="D12" s="19" t="n">
        <v>45777</v>
      </c>
      <c r="E12" s="17" t="n">
        <v>30</v>
      </c>
      <c r="F12" s="17" t="n">
        <v>0</v>
      </c>
      <c r="G12" s="19">
        <f>C12+F12</f>
        <v/>
      </c>
      <c r="H12" s="19">
        <f>D12+F12</f>
        <v/>
      </c>
      <c r="I12" s="17" t="inlineStr">
        <is>
          <t>YES</t>
        </is>
      </c>
      <c r="J12" s="8" t="inlineStr">
        <is>
          <t>completed-no-formal-doc</t>
        </is>
      </c>
    </row>
    <row r="13">
      <c r="A13" s="2" t="inlineStr">
        <is>
          <t>T-C1-04</t>
        </is>
      </c>
      <c r="B13" s="3" t="inlineStr">
        <is>
          <t>تطوير خارطة طريق التحول الرقمي</t>
        </is>
      </c>
      <c r="C13" s="5" t="n">
        <v>45778</v>
      </c>
      <c r="D13" s="5" t="n">
        <v>45869</v>
      </c>
      <c r="E13" s="2" t="n">
        <v>92</v>
      </c>
      <c r="F13" s="2" t="n">
        <v>0</v>
      </c>
      <c r="G13" s="5">
        <f>C13+F13</f>
        <v/>
      </c>
      <c r="H13" s="5">
        <f>D13+F13</f>
        <v/>
      </c>
      <c r="I13" s="2" t="inlineStr">
        <is>
          <t>NO</t>
        </is>
      </c>
      <c r="J13" s="6" t="inlineStr">
        <is>
          <t>completed</t>
        </is>
      </c>
    </row>
    <row r="14">
      <c r="A14" s="17" t="inlineStr">
        <is>
          <t>T-C1-05</t>
        </is>
      </c>
      <c r="B14" s="18" t="inlineStr">
        <is>
          <t>إصدار وثيقة متطلبات البنية المؤسسية + سجل المتطلبات</t>
        </is>
      </c>
      <c r="C14" s="19" t="n">
        <v>45748</v>
      </c>
      <c r="D14" s="19" t="n">
        <v>45869</v>
      </c>
      <c r="E14" s="17" t="n">
        <v>122</v>
      </c>
      <c r="F14" s="17" t="n">
        <v>0</v>
      </c>
      <c r="G14" s="19">
        <f>C14+F14</f>
        <v/>
      </c>
      <c r="H14" s="19">
        <f>D14+F14</f>
        <v/>
      </c>
      <c r="I14" s="17" t="inlineStr">
        <is>
          <t>YES</t>
        </is>
      </c>
      <c r="J14" s="6" t="inlineStr">
        <is>
          <t>completed</t>
        </is>
      </c>
    </row>
    <row r="15">
      <c r="A15" s="2" t="inlineStr">
        <is>
          <t>T-C1-06</t>
        </is>
      </c>
      <c r="B15" s="3" t="inlineStr">
        <is>
          <t>تنفيذ خطة التوعية (ورش + فيديوهات + نشرات + استبيانات)</t>
        </is>
      </c>
      <c r="C15" s="5" t="n">
        <v>45717</v>
      </c>
      <c r="D15" s="5" t="n">
        <v>46022</v>
      </c>
      <c r="E15" s="2" t="n">
        <v>306</v>
      </c>
      <c r="F15" s="2" t="n">
        <v>0</v>
      </c>
      <c r="G15" s="5">
        <f>C15+F15</f>
        <v/>
      </c>
      <c r="H15" s="5">
        <f>D15+F15</f>
        <v/>
      </c>
      <c r="I15" s="2" t="inlineStr">
        <is>
          <t>NO</t>
        </is>
      </c>
      <c r="J15" s="6" t="inlineStr">
        <is>
          <t>completed</t>
        </is>
      </c>
    </row>
    <row r="16">
      <c r="A16" s="2" t="inlineStr">
        <is>
          <t>T-C1-07</t>
        </is>
      </c>
      <c r="B16" s="3" t="inlineStr">
        <is>
          <t>تنفيذ خطة التدريب (شهادات TOGAF Foundation للأعضاء)</t>
        </is>
      </c>
      <c r="C16" s="5" t="n">
        <v>45658</v>
      </c>
      <c r="D16" s="5" t="n">
        <v>45930</v>
      </c>
      <c r="E16" s="2" t="n">
        <v>273</v>
      </c>
      <c r="F16" s="2" t="n">
        <v>0</v>
      </c>
      <c r="G16" s="5">
        <f>C16+F16</f>
        <v/>
      </c>
      <c r="H16" s="5">
        <f>D16+F16</f>
        <v/>
      </c>
      <c r="I16" s="2" t="inlineStr">
        <is>
          <t>NO</t>
        </is>
      </c>
      <c r="J16" s="6" t="inlineStr">
        <is>
          <t>completed</t>
        </is>
      </c>
    </row>
    <row r="17">
      <c r="A17" s="2" t="inlineStr">
        <is>
          <t>T-C1-08</t>
        </is>
      </c>
      <c r="B17" s="3" t="inlineStr">
        <is>
          <t>إصدار التقارير الربعية لـ 2025 (Q1–Q4)</t>
        </is>
      </c>
      <c r="C17" s="5" t="n">
        <v>45748</v>
      </c>
      <c r="D17" s="5" t="n">
        <v>46053</v>
      </c>
      <c r="E17" s="2" t="n">
        <v>305</v>
      </c>
      <c r="F17" s="2" t="n">
        <v>0</v>
      </c>
      <c r="G17" s="5">
        <f>C17+F17</f>
        <v/>
      </c>
      <c r="H17" s="5">
        <f>D17+F17</f>
        <v/>
      </c>
      <c r="I17" s="2" t="inlineStr">
        <is>
          <t>NO</t>
        </is>
      </c>
      <c r="J17" s="6" t="inlineStr">
        <is>
          <t>completed</t>
        </is>
      </c>
    </row>
    <row r="18">
      <c r="A18" s="17" t="inlineStr">
        <is>
          <t>T-C1-09</t>
        </is>
      </c>
      <c r="B18" s="18" t="inlineStr">
        <is>
          <t>تقرير إغلاق الدورة الأولى</t>
        </is>
      </c>
      <c r="C18" s="19" t="n">
        <v>45870</v>
      </c>
      <c r="D18" s="19" t="n">
        <v>45930</v>
      </c>
      <c r="E18" s="17" t="n">
        <v>60</v>
      </c>
      <c r="F18" s="17" t="n">
        <v>0</v>
      </c>
      <c r="G18" s="19">
        <f>C18+F18</f>
        <v/>
      </c>
      <c r="H18" s="19">
        <f>D18+F18</f>
        <v/>
      </c>
      <c r="I18" s="17" t="inlineStr">
        <is>
          <t>YES</t>
        </is>
      </c>
      <c r="J18" s="9" t="inlineStr">
        <is>
          <t>PENDING-M3</t>
        </is>
      </c>
    </row>
    <row r="19">
      <c r="A19" s="2" t="inlineStr">
        <is>
          <t>T-CT-01</t>
        </is>
      </c>
      <c r="B19" s="3" t="inlineStr">
        <is>
          <t>إصدار الخطة الاستراتيجية للبيانات والتحول الرقمي 2026-2028</t>
        </is>
      </c>
      <c r="C19" s="5" t="n">
        <v>45962</v>
      </c>
      <c r="D19" s="5" t="n">
        <v>45991</v>
      </c>
      <c r="E19" s="2" t="n">
        <v>30</v>
      </c>
      <c r="F19" s="2" t="n">
        <v>0</v>
      </c>
      <c r="G19" s="5">
        <f>C19+F19</f>
        <v/>
      </c>
      <c r="H19" s="5">
        <f>D19+F19</f>
        <v/>
      </c>
      <c r="I19" s="2" t="inlineStr">
        <is>
          <t>NO</t>
        </is>
      </c>
      <c r="J19" s="6" t="inlineStr">
        <is>
          <t>completed</t>
        </is>
      </c>
    </row>
    <row r="20">
      <c r="A20" s="2" t="inlineStr">
        <is>
          <t>T-CT-02</t>
        </is>
      </c>
      <c r="B20" s="3" t="inlineStr">
        <is>
          <t>محضر اعتماد الاستراتيجية الجديدة</t>
        </is>
      </c>
      <c r="C20" s="5" t="n">
        <v>45976</v>
      </c>
      <c r="D20" s="5" t="n">
        <v>45991</v>
      </c>
      <c r="E20" s="2" t="n">
        <v>15</v>
      </c>
      <c r="F20" s="2" t="n">
        <v>0</v>
      </c>
      <c r="G20" s="5">
        <f>C20+F20</f>
        <v/>
      </c>
      <c r="H20" s="5">
        <f>D20+F20</f>
        <v/>
      </c>
      <c r="I20" s="2" t="inlineStr">
        <is>
          <t>NO</t>
        </is>
      </c>
      <c r="J20" s="9" t="inlineStr">
        <is>
          <t>PENDING-M3</t>
        </is>
      </c>
    </row>
    <row r="21">
      <c r="A21" s="2" t="inlineStr">
        <is>
          <t>T-CT-03</t>
        </is>
      </c>
      <c r="B21" s="3" t="inlineStr">
        <is>
          <t>تقرير دراسة أثر التغيير على متطلبات البنية المؤسسية</t>
        </is>
      </c>
      <c r="C21" s="5" t="n">
        <v>45992</v>
      </c>
      <c r="D21" s="5" t="n">
        <v>46022</v>
      </c>
      <c r="E21" s="2" t="n">
        <v>30</v>
      </c>
      <c r="F21" s="2" t="n">
        <v>0</v>
      </c>
      <c r="G21" s="5">
        <f>C21+F21</f>
        <v/>
      </c>
      <c r="H21" s="5">
        <f>D21+F21</f>
        <v/>
      </c>
      <c r="I21" s="2" t="inlineStr">
        <is>
          <t>NO</t>
        </is>
      </c>
      <c r="J21" s="9" t="inlineStr">
        <is>
          <t>PENDING-M3</t>
        </is>
      </c>
    </row>
    <row r="22">
      <c r="A22" s="2" t="inlineStr">
        <is>
          <t>T-CT-04</t>
        </is>
      </c>
      <c r="B22" s="3" t="inlineStr">
        <is>
          <t>تقرير دراسة أثر التغيير على مبادئ البنية المؤسسية</t>
        </is>
      </c>
      <c r="C22" s="5" t="n">
        <v>45992</v>
      </c>
      <c r="D22" s="5" t="n">
        <v>46022</v>
      </c>
      <c r="E22" s="2" t="n">
        <v>30</v>
      </c>
      <c r="F22" s="2" t="n">
        <v>0</v>
      </c>
      <c r="G22" s="5">
        <f>C22+F22</f>
        <v/>
      </c>
      <c r="H22" s="5">
        <f>D22+F22</f>
        <v/>
      </c>
      <c r="I22" s="2" t="inlineStr">
        <is>
          <t>NO</t>
        </is>
      </c>
      <c r="J22" s="9" t="inlineStr">
        <is>
          <t>PENDING-M3</t>
        </is>
      </c>
    </row>
    <row r="23">
      <c r="A23" s="2" t="inlineStr">
        <is>
          <t>T-CT-05</t>
        </is>
      </c>
      <c r="B23" s="3" t="inlineStr">
        <is>
          <t>تحديث استراتيجية البنية المؤسسية (v2)</t>
        </is>
      </c>
      <c r="C23" s="5" t="n">
        <v>46023</v>
      </c>
      <c r="D23" s="5" t="n">
        <v>46053</v>
      </c>
      <c r="E23" s="2" t="n">
        <v>30</v>
      </c>
      <c r="F23" s="2" t="n">
        <v>0</v>
      </c>
      <c r="G23" s="5">
        <f>C23+F23</f>
        <v/>
      </c>
      <c r="H23" s="5">
        <f>D23+F23</f>
        <v/>
      </c>
      <c r="I23" s="2" t="inlineStr">
        <is>
          <t>NO</t>
        </is>
      </c>
      <c r="J23" s="9" t="inlineStr">
        <is>
          <t>PENDING-M3</t>
        </is>
      </c>
    </row>
    <row r="24">
      <c r="A24" s="2" t="inlineStr">
        <is>
          <t>T-CT-06</t>
        </is>
      </c>
      <c r="B24" s="3" t="inlineStr">
        <is>
          <t>قرار إطلاق الدورة الثانية</t>
        </is>
      </c>
      <c r="C24" s="5" t="n">
        <v>46037</v>
      </c>
      <c r="D24" s="5" t="n">
        <v>46068</v>
      </c>
      <c r="E24" s="2" t="n">
        <v>31</v>
      </c>
      <c r="F24" s="2" t="n">
        <v>0</v>
      </c>
      <c r="G24" s="5">
        <f>C24+F24</f>
        <v/>
      </c>
      <c r="H24" s="5">
        <f>D24+F24</f>
        <v/>
      </c>
      <c r="I24" s="2" t="inlineStr">
        <is>
          <t>NO</t>
        </is>
      </c>
      <c r="J24" s="9" t="inlineStr">
        <is>
          <t>PENDING-M3</t>
        </is>
      </c>
    </row>
    <row r="25">
      <c r="A25" s="2" t="inlineStr">
        <is>
          <t>T-CT-07</t>
        </is>
      </c>
      <c r="B25" s="3" t="inlineStr">
        <is>
          <t>اجتماعات قسم البنية المؤسسية الأسبوعية (Nov 2025 – Jan 2026)</t>
        </is>
      </c>
      <c r="C25" s="5" t="n">
        <v>45977</v>
      </c>
      <c r="D25" s="5" t="n">
        <v>46048</v>
      </c>
      <c r="E25" s="2" t="n">
        <v>71</v>
      </c>
      <c r="F25" s="2" t="n">
        <v>0</v>
      </c>
      <c r="G25" s="5">
        <f>C25+F25</f>
        <v/>
      </c>
      <c r="H25" s="5">
        <f>D25+F25</f>
        <v/>
      </c>
      <c r="I25" s="2" t="inlineStr">
        <is>
          <t>NO</t>
        </is>
      </c>
      <c r="J25" s="6" t="inlineStr">
        <is>
          <t>completed</t>
        </is>
      </c>
    </row>
    <row r="26">
      <c r="A26" s="2" t="inlineStr">
        <is>
          <t>T-C2-01</t>
        </is>
      </c>
      <c r="B26" s="3" t="inlineStr">
        <is>
          <t>إصدار ميثاق الدورة الثانية</t>
        </is>
      </c>
      <c r="C26" s="5" t="n">
        <v>46054</v>
      </c>
      <c r="D26" s="5" t="n">
        <v>46081</v>
      </c>
      <c r="E26" s="2" t="n">
        <v>28</v>
      </c>
      <c r="F26" s="2" t="n">
        <v>0</v>
      </c>
      <c r="G26" s="5">
        <f>C26+F26</f>
        <v/>
      </c>
      <c r="H26" s="5">
        <f>D26+F26</f>
        <v/>
      </c>
      <c r="I26" s="2" t="inlineStr">
        <is>
          <t>NO</t>
        </is>
      </c>
      <c r="J26" s="9" t="inlineStr">
        <is>
          <t>PENDING-M4</t>
        </is>
      </c>
    </row>
    <row r="27">
      <c r="A27" s="2" t="inlineStr">
        <is>
          <t>T-C2-02</t>
        </is>
      </c>
      <c r="B27" s="3" t="inlineStr">
        <is>
          <t>إعادة محاذاة الوضع المستقبلي للبنية المؤسسية</t>
        </is>
      </c>
      <c r="C27" s="5" t="n">
        <v>46068</v>
      </c>
      <c r="D27" s="5" t="n">
        <v>46142</v>
      </c>
      <c r="E27" s="2" t="n">
        <v>75</v>
      </c>
      <c r="F27" s="2" t="n">
        <v>0</v>
      </c>
      <c r="G27" s="5">
        <f>C27+F27</f>
        <v/>
      </c>
      <c r="H27" s="5">
        <f>D27+F27</f>
        <v/>
      </c>
      <c r="I27" s="2" t="inlineStr">
        <is>
          <t>NO</t>
        </is>
      </c>
      <c r="J27" s="9" t="inlineStr">
        <is>
          <t>PENDING-M4</t>
        </is>
      </c>
    </row>
    <row r="28">
      <c r="A28" s="2" t="inlineStr">
        <is>
          <t>T-C2-03</t>
        </is>
      </c>
      <c r="B28" s="3" t="inlineStr">
        <is>
          <t>إعادة محاذاة خارطة الطريق</t>
        </is>
      </c>
      <c r="C28" s="5" t="n">
        <v>46113</v>
      </c>
      <c r="D28" s="5" t="n">
        <v>46173</v>
      </c>
      <c r="E28" s="2" t="n">
        <v>60</v>
      </c>
      <c r="F28" s="2" t="n">
        <v>0</v>
      </c>
      <c r="G28" s="5">
        <f>C28+F28</f>
        <v/>
      </c>
      <c r="H28" s="5">
        <f>D28+F28</f>
        <v/>
      </c>
      <c r="I28" s="2" t="inlineStr">
        <is>
          <t>NO</t>
        </is>
      </c>
      <c r="J28" s="9" t="inlineStr">
        <is>
          <t>PENDING-M4</t>
        </is>
      </c>
    </row>
    <row r="29">
      <c r="A29" s="2" t="inlineStr">
        <is>
          <t>T-C2-04</t>
        </is>
      </c>
      <c r="B29" s="3" t="inlineStr">
        <is>
          <t>تطبيق تحسينات على وثائق التأطير (بناءً على feedback دورة 1)</t>
        </is>
      </c>
      <c r="C29" s="5" t="n">
        <v>46054</v>
      </c>
      <c r="D29" s="5" t="n">
        <v>46203</v>
      </c>
      <c r="E29" s="2" t="n">
        <v>150</v>
      </c>
      <c r="F29" s="2" t="n">
        <v>0</v>
      </c>
      <c r="G29" s="5">
        <f>C29+F29</f>
        <v/>
      </c>
      <c r="H29" s="5">
        <f>D29+F29</f>
        <v/>
      </c>
      <c r="I29" s="2" t="inlineStr">
        <is>
          <t>NO</t>
        </is>
      </c>
      <c r="J29" s="9" t="inlineStr">
        <is>
          <t>PENDING-M4</t>
        </is>
      </c>
    </row>
    <row r="30">
      <c r="A30" s="2" t="inlineStr">
        <is>
          <t>T-C2-05</t>
        </is>
      </c>
      <c r="B30" s="3" t="inlineStr">
        <is>
          <t>تقرير إغلاق الدورة الثانية</t>
        </is>
      </c>
      <c r="C30" s="5" t="n">
        <v>46188</v>
      </c>
      <c r="D30" s="5" t="n">
        <v>46203</v>
      </c>
      <c r="E30" s="2" t="n">
        <v>16</v>
      </c>
      <c r="F30" s="2" t="n">
        <v>0</v>
      </c>
      <c r="G30" s="5">
        <f>C30+F30</f>
        <v/>
      </c>
      <c r="H30" s="5">
        <f>D30+F30</f>
        <v/>
      </c>
      <c r="I30" s="2" t="inlineStr">
        <is>
          <t>NO</t>
        </is>
      </c>
      <c r="J30" s="9" t="inlineStr">
        <is>
          <t>PENDING-M4</t>
        </is>
      </c>
    </row>
    <row r="31">
      <c r="A31" s="2" t="inlineStr">
        <is>
          <t>T-SUB-01</t>
        </is>
      </c>
      <c r="B31" s="3" t="inlineStr">
        <is>
          <t>إصدار الميثاق العام لدورات تطوير مكونات البنية المؤسسية</t>
        </is>
      </c>
      <c r="C31" s="5" t="n">
        <v>46174</v>
      </c>
      <c r="D31" s="5" t="n">
        <v>46188</v>
      </c>
      <c r="E31" s="2" t="n">
        <v>15</v>
      </c>
      <c r="F31" s="2" t="n">
        <v>0</v>
      </c>
      <c r="G31" s="5">
        <f>C31+F31</f>
        <v/>
      </c>
      <c r="H31" s="5">
        <f>D31+F31</f>
        <v/>
      </c>
      <c r="I31" s="2" t="inlineStr">
        <is>
          <t>NO</t>
        </is>
      </c>
      <c r="J31" s="9" t="inlineStr">
        <is>
          <t>PENDING-M3</t>
        </is>
      </c>
    </row>
    <row r="32">
      <c r="A32" s="17" t="inlineStr">
        <is>
          <t>T-SUB-02</t>
        </is>
      </c>
      <c r="B32" s="18" t="inlineStr">
        <is>
          <t>تجميع ملف التقديم (Submission Package)</t>
        </is>
      </c>
      <c r="C32" s="19" t="n">
        <v>46188</v>
      </c>
      <c r="D32" s="19" t="n">
        <v>46218</v>
      </c>
      <c r="E32" s="17" t="n">
        <v>31</v>
      </c>
      <c r="F32" s="17" t="n">
        <v>0</v>
      </c>
      <c r="G32" s="19">
        <f>C32+F32</f>
        <v/>
      </c>
      <c r="H32" s="19">
        <f>D32+F32</f>
        <v/>
      </c>
      <c r="I32" s="17" t="inlineStr">
        <is>
          <t>YES</t>
        </is>
      </c>
      <c r="J32" s="13" t="inlineStr">
        <is>
          <t>PLANNED-M5</t>
        </is>
      </c>
    </row>
    <row r="33">
      <c r="A33" s="17" t="inlineStr">
        <is>
          <t>T-SUB-03</t>
        </is>
      </c>
      <c r="B33" s="18" t="inlineStr">
        <is>
          <t>التقديم الرسمي للجنة التقييم</t>
        </is>
      </c>
      <c r="C33" s="19" t="n">
        <v>46218</v>
      </c>
      <c r="D33" s="19" t="n">
        <v>46234</v>
      </c>
      <c r="E33" s="17" t="n">
        <v>16</v>
      </c>
      <c r="F33" s="17" t="n">
        <v>0</v>
      </c>
      <c r="G33" s="19">
        <f>C33+F33</f>
        <v/>
      </c>
      <c r="H33" s="19">
        <f>D33+F33</f>
        <v/>
      </c>
      <c r="I33" s="17" t="inlineStr">
        <is>
          <t>YES</t>
        </is>
      </c>
      <c r="J33" s="13" t="inlineStr">
        <is>
          <t>PLANNED</t>
        </is>
      </c>
    </row>
    <row r="34"/>
    <row r="35">
      <c r="A35" s="16" t="inlineStr">
        <is>
          <t>Submission deadline:</t>
        </is>
      </c>
      <c r="C35" s="20" t="n">
        <v>46234</v>
      </c>
    </row>
    <row r="36">
      <c r="A36" s="16" t="inlineStr">
        <is>
          <t>Adjusted submission end (T-SUB-03):</t>
        </is>
      </c>
      <c r="C36" s="20">
        <f>H33</f>
        <v/>
      </c>
    </row>
    <row r="37">
      <c r="A37" s="16" t="inlineStr">
        <is>
          <t>Slack to deadline (days):</t>
        </is>
      </c>
      <c r="C37" s="16">
        <f>C35-H33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4"/>
  <sheetViews>
    <sheetView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0" customWidth="1" min="2" max="2"/>
    <col width="60" customWidth="1" min="3" max="3"/>
    <col width="12" customWidth="1" min="4" max="4"/>
    <col width="14" customWidth="1" min="5" max="5"/>
    <col width="17" customWidth="1" min="6" max="6"/>
    <col width="21" customWidth="1" min="7" max="7"/>
    <col width="20" customWidth="1" min="8" max="8"/>
    <col width="36" customWidth="1" min="9" max="9"/>
  </cols>
  <sheetData>
    <row r="1">
      <c r="A1" s="1" t="inlineStr">
        <is>
          <t>deliverable_id</t>
        </is>
      </c>
      <c r="B1" s="1" t="inlineStr">
        <is>
          <t>code</t>
        </is>
      </c>
      <c r="C1" s="1" t="inlineStr">
        <is>
          <t>name_ar</t>
        </is>
      </c>
      <c r="D1" s="1" t="inlineStr">
        <is>
          <t>category</t>
        </is>
      </c>
      <c r="E1" s="1" t="inlineStr">
        <is>
          <t>phase_abcdef</t>
        </is>
      </c>
      <c r="F1" s="1" t="inlineStr">
        <is>
          <t>etec_file_count</t>
        </is>
      </c>
      <c r="G1" s="1" t="inlineStr">
        <is>
          <t>timeline_task_count</t>
        </is>
      </c>
      <c r="H1" s="1" t="inlineStr">
        <is>
          <t>coverage_status</t>
        </is>
      </c>
      <c r="I1" s="1" t="inlineStr">
        <is>
          <t>task_ids</t>
        </is>
      </c>
    </row>
    <row r="2">
      <c r="A2" s="2" t="inlineStr">
        <is>
          <t>DEL-PRE-001</t>
        </is>
      </c>
      <c r="B2" s="2" t="inlineStr">
        <is>
          <t>PRE-01</t>
        </is>
      </c>
      <c r="C2" s="3" t="inlineStr">
        <is>
          <t>اشتراطات التقييم</t>
        </is>
      </c>
      <c r="D2" s="2" t="inlineStr">
        <is>
          <t>الاشتراطات</t>
        </is>
      </c>
      <c r="E2" s="2" t="inlineStr">
        <is>
          <t>A</t>
        </is>
      </c>
      <c r="F2" s="2" t="n">
        <v>0</v>
      </c>
      <c r="G2" s="2" t="n">
        <v>0</v>
      </c>
      <c r="H2" s="13" t="inlineStr">
        <is>
          <t>not-applicable</t>
        </is>
      </c>
      <c r="I2" s="2" t="inlineStr"/>
    </row>
    <row r="3">
      <c r="A3" s="2" t="inlineStr">
        <is>
          <t>DEL-PRE-002</t>
        </is>
      </c>
      <c r="B3" s="2" t="inlineStr">
        <is>
          <t>PRE-02</t>
        </is>
      </c>
      <c r="C3" s="3" t="inlineStr">
        <is>
          <t>اشتراطات لجنة حوكمة البنية المؤسسية</t>
        </is>
      </c>
      <c r="D3" s="2" t="inlineStr">
        <is>
          <t>الاشتراطات</t>
        </is>
      </c>
      <c r="E3" s="2" t="inlineStr">
        <is>
          <t>A</t>
        </is>
      </c>
      <c r="F3" s="2" t="n">
        <v>0</v>
      </c>
      <c r="G3" s="2" t="n">
        <v>0</v>
      </c>
      <c r="H3" s="13" t="inlineStr">
        <is>
          <t>not-applicable</t>
        </is>
      </c>
      <c r="I3" s="2" t="inlineStr"/>
    </row>
    <row r="4">
      <c r="A4" s="2" t="inlineStr">
        <is>
          <t>DEL-PRE-003</t>
        </is>
      </c>
      <c r="B4" s="2" t="inlineStr">
        <is>
          <t>PRE-03</t>
        </is>
      </c>
      <c r="C4" s="3" t="inlineStr">
        <is>
          <t>اشتراطات عامة</t>
        </is>
      </c>
      <c r="D4" s="2" t="inlineStr">
        <is>
          <t>الاشتراطات</t>
        </is>
      </c>
      <c r="E4" s="2" t="inlineStr">
        <is>
          <t>A</t>
        </is>
      </c>
      <c r="F4" s="2" t="n">
        <v>0</v>
      </c>
      <c r="G4" s="2" t="n">
        <v>0</v>
      </c>
      <c r="H4" s="13" t="inlineStr">
        <is>
          <t>not-applicable</t>
        </is>
      </c>
      <c r="I4" s="2" t="inlineStr"/>
    </row>
    <row r="5">
      <c r="A5" s="2" t="inlineStr">
        <is>
          <t>DEL-PRE-004</t>
        </is>
      </c>
      <c r="B5" s="2" t="inlineStr">
        <is>
          <t>PRE-04</t>
        </is>
      </c>
      <c r="C5" s="3" t="inlineStr">
        <is>
          <t>اشتراطات فريق عمل الوحدة التنظيمية للبنية المؤسسية</t>
        </is>
      </c>
      <c r="D5" s="2" t="inlineStr">
        <is>
          <t>الاشتراطات</t>
        </is>
      </c>
      <c r="E5" s="2" t="inlineStr">
        <is>
          <t>A</t>
        </is>
      </c>
      <c r="F5" s="2" t="n">
        <v>0</v>
      </c>
      <c r="G5" s="2" t="n">
        <v>0</v>
      </c>
      <c r="H5" s="13" t="inlineStr">
        <is>
          <t>not-applicable</t>
        </is>
      </c>
      <c r="I5" s="2" t="inlineStr"/>
    </row>
    <row r="6">
      <c r="A6" s="2" t="inlineStr">
        <is>
          <t>DEL-DOC-001</t>
        </is>
      </c>
      <c r="B6" s="2" t="inlineStr">
        <is>
          <t>DOC-01</t>
        </is>
      </c>
      <c r="C6" s="3" t="inlineStr">
        <is>
          <t>وثيقة استراتيجية الأعمال</t>
        </is>
      </c>
      <c r="D6" s="2" t="inlineStr">
        <is>
          <t>الوثائق</t>
        </is>
      </c>
      <c r="E6" s="2" t="inlineStr">
        <is>
          <t>C</t>
        </is>
      </c>
      <c r="F6" s="2" t="n">
        <v>1</v>
      </c>
      <c r="G6" s="2" t="n">
        <v>2</v>
      </c>
      <c r="H6" s="6" t="inlineStr">
        <is>
          <t>covered</t>
        </is>
      </c>
      <c r="I6" s="2" t="inlineStr">
        <is>
          <t>T-F01, T-F01.3</t>
        </is>
      </c>
    </row>
    <row r="7">
      <c r="A7" s="2" t="inlineStr">
        <is>
          <t>DEL-DOC-002</t>
        </is>
      </c>
      <c r="B7" s="2" t="inlineStr">
        <is>
          <t>DOC-02</t>
        </is>
      </c>
      <c r="C7" s="3" t="inlineStr">
        <is>
          <t>وثيقة استراتيجية التحول الرقمي</t>
        </is>
      </c>
      <c r="D7" s="2" t="inlineStr">
        <is>
          <t>الوثائق</t>
        </is>
      </c>
      <c r="E7" s="2" t="inlineStr">
        <is>
          <t>C</t>
        </is>
      </c>
      <c r="F7" s="2" t="n">
        <v>1</v>
      </c>
      <c r="G7" s="2" t="n">
        <v>1</v>
      </c>
      <c r="H7" s="6" t="inlineStr">
        <is>
          <t>covered</t>
        </is>
      </c>
      <c r="I7" s="2" t="inlineStr">
        <is>
          <t>T-CT-01</t>
        </is>
      </c>
    </row>
    <row r="8">
      <c r="A8" s="2" t="inlineStr">
        <is>
          <t>DEL-DOC-003</t>
        </is>
      </c>
      <c r="B8" s="2" t="inlineStr">
        <is>
          <t>DOC-03</t>
        </is>
      </c>
      <c r="C8" s="3" t="inlineStr">
        <is>
          <t>وثائق الاستراتيجيات الرقمية</t>
        </is>
      </c>
      <c r="D8" s="2" t="inlineStr">
        <is>
          <t>الوثائق</t>
        </is>
      </c>
      <c r="E8" s="2" t="inlineStr">
        <is>
          <t>C</t>
        </is>
      </c>
      <c r="F8" s="2" t="n">
        <v>2</v>
      </c>
      <c r="G8" s="2" t="n">
        <v>2</v>
      </c>
      <c r="H8" s="6" t="inlineStr">
        <is>
          <t>covered</t>
        </is>
      </c>
      <c r="I8" s="2" t="inlineStr">
        <is>
          <t>T-F01, T-F01.3</t>
        </is>
      </c>
    </row>
    <row r="9">
      <c r="A9" s="2" t="inlineStr">
        <is>
          <t>DEL-DOC-004</t>
        </is>
      </c>
      <c r="B9" s="2" t="inlineStr">
        <is>
          <t>DOC-04</t>
        </is>
      </c>
      <c r="C9" s="3" t="inlineStr">
        <is>
          <t>وثيقة استراتيجية البنية المؤسسية</t>
        </is>
      </c>
      <c r="D9" s="2" t="inlineStr">
        <is>
          <t>الوثائق</t>
        </is>
      </c>
      <c r="E9" s="2" t="inlineStr">
        <is>
          <t>C</t>
        </is>
      </c>
      <c r="F9" s="2" t="n">
        <v>1</v>
      </c>
      <c r="G9" s="2" t="n">
        <v>3</v>
      </c>
      <c r="H9" s="6" t="inlineStr">
        <is>
          <t>covered</t>
        </is>
      </c>
      <c r="I9" s="2" t="inlineStr">
        <is>
          <t>T-F01, T-F01.4, T-CT-05</t>
        </is>
      </c>
    </row>
    <row r="10">
      <c r="A10" s="2" t="inlineStr">
        <is>
          <t>DEL-DOC-005</t>
        </is>
      </c>
      <c r="B10" s="2" t="inlineStr">
        <is>
          <t>DOC-05</t>
        </is>
      </c>
      <c r="C10" s="3" t="inlineStr">
        <is>
          <t>وثيقة الهيكل التنظيمي للجهة</t>
        </is>
      </c>
      <c r="D10" s="2" t="inlineStr">
        <is>
          <t>الوثائق</t>
        </is>
      </c>
      <c r="E10" s="2" t="inlineStr">
        <is>
          <t>B</t>
        </is>
      </c>
      <c r="F10" s="2" t="n">
        <v>2</v>
      </c>
      <c r="G10" s="2" t="n">
        <v>2</v>
      </c>
      <c r="H10" s="6" t="inlineStr">
        <is>
          <t>covered</t>
        </is>
      </c>
      <c r="I10" s="2" t="inlineStr">
        <is>
          <t>T-F01, T-F01.5</t>
        </is>
      </c>
    </row>
    <row r="11">
      <c r="A11" s="2" t="inlineStr">
        <is>
          <t>DEL-DOC-006</t>
        </is>
      </c>
      <c r="B11" s="2" t="inlineStr">
        <is>
          <t>DOC-06</t>
        </is>
      </c>
      <c r="C11" s="3" t="inlineStr">
        <is>
          <t>وثيقة سياسة البنية المؤسسية</t>
        </is>
      </c>
      <c r="D11" s="2" t="inlineStr">
        <is>
          <t>الوثائق</t>
        </is>
      </c>
      <c r="E11" s="2" t="inlineStr">
        <is>
          <t>C</t>
        </is>
      </c>
      <c r="F11" s="2" t="n">
        <v>2</v>
      </c>
      <c r="G11" s="2" t="n">
        <v>3</v>
      </c>
      <c r="H11" s="6" t="inlineStr">
        <is>
          <t>covered</t>
        </is>
      </c>
      <c r="I11" s="2" t="inlineStr">
        <is>
          <t>T-F01, T-F01.6, T-C2-04</t>
        </is>
      </c>
    </row>
    <row r="12">
      <c r="A12" s="2" t="inlineStr">
        <is>
          <t>DEL-DOC-007</t>
        </is>
      </c>
      <c r="B12" s="2" t="inlineStr">
        <is>
          <t>DOC-07</t>
        </is>
      </c>
      <c r="C12" s="3" t="inlineStr">
        <is>
          <t>وثيقة النموذج التشغيلي للبنية المؤسسية</t>
        </is>
      </c>
      <c r="D12" s="2" t="inlineStr">
        <is>
          <t>الوثائق</t>
        </is>
      </c>
      <c r="E12" s="2" t="inlineStr">
        <is>
          <t>D</t>
        </is>
      </c>
      <c r="F12" s="2" t="n">
        <v>1</v>
      </c>
      <c r="G12" s="2" t="n">
        <v>2</v>
      </c>
      <c r="H12" s="6" t="inlineStr">
        <is>
          <t>covered</t>
        </is>
      </c>
      <c r="I12" s="2" t="inlineStr">
        <is>
          <t>T-F01, T-F01.7</t>
        </is>
      </c>
    </row>
    <row r="13">
      <c r="A13" s="2" t="inlineStr">
        <is>
          <t>DEL-DOC-008</t>
        </is>
      </c>
      <c r="B13" s="2" t="inlineStr">
        <is>
          <t>DOC-08</t>
        </is>
      </c>
      <c r="C13" s="3" t="inlineStr">
        <is>
          <t>وثيقة الخطة التشغيلية للبنية المؤسسية</t>
        </is>
      </c>
      <c r="D13" s="2" t="inlineStr">
        <is>
          <t>الوثائق</t>
        </is>
      </c>
      <c r="E13" s="2" t="inlineStr">
        <is>
          <t>D</t>
        </is>
      </c>
      <c r="F13" s="2" t="n">
        <v>1</v>
      </c>
      <c r="G13" s="2" t="n">
        <v>2</v>
      </c>
      <c r="H13" s="6" t="inlineStr">
        <is>
          <t>covered</t>
        </is>
      </c>
      <c r="I13" s="2" t="inlineStr">
        <is>
          <t>T-F01, T-F01.7</t>
        </is>
      </c>
    </row>
    <row r="14">
      <c r="A14" s="2" t="inlineStr">
        <is>
          <t>DEL-DOC-009</t>
        </is>
      </c>
      <c r="B14" s="2" t="inlineStr">
        <is>
          <t>DOC-09</t>
        </is>
      </c>
      <c r="C14" s="3" t="inlineStr">
        <is>
          <t>وثيقة خطة تعزيز الوعي</t>
        </is>
      </c>
      <c r="D14" s="2" t="inlineStr">
        <is>
          <t>الوثائق</t>
        </is>
      </c>
      <c r="E14" s="2" t="inlineStr">
        <is>
          <t>C</t>
        </is>
      </c>
      <c r="F14" s="2" t="n">
        <v>1</v>
      </c>
      <c r="G14" s="2" t="n">
        <v>2</v>
      </c>
      <c r="H14" s="6" t="inlineStr">
        <is>
          <t>covered</t>
        </is>
      </c>
      <c r="I14" s="2" t="inlineStr">
        <is>
          <t>T-F01, T-F01.7</t>
        </is>
      </c>
    </row>
    <row r="15">
      <c r="A15" s="2" t="inlineStr">
        <is>
          <t>DEL-DOC-010</t>
        </is>
      </c>
      <c r="B15" s="2" t="inlineStr">
        <is>
          <t>DOC-10</t>
        </is>
      </c>
      <c r="C15" s="3" t="inlineStr">
        <is>
          <t>وثيقة خطة تنفيذ دراسة جدوى تبني التقنيات الحديثة والناشئة</t>
        </is>
      </c>
      <c r="D15" s="2" t="inlineStr">
        <is>
          <t>الوثائق</t>
        </is>
      </c>
      <c r="E15" s="2" t="inlineStr">
        <is>
          <t>D</t>
        </is>
      </c>
      <c r="F15" s="2" t="n">
        <v>0</v>
      </c>
      <c r="G15" s="2" t="n">
        <v>0</v>
      </c>
      <c r="H15" s="13" t="inlineStr">
        <is>
          <t>not-applicable</t>
        </is>
      </c>
      <c r="I15" s="2" t="inlineStr"/>
    </row>
    <row r="16">
      <c r="A16" s="2" t="inlineStr">
        <is>
          <t>DEL-DOC-011</t>
        </is>
      </c>
      <c r="B16" s="2" t="inlineStr">
        <is>
          <t>DOC-11</t>
        </is>
      </c>
      <c r="C16" s="3" t="inlineStr">
        <is>
          <t>وثيقة خطة تطوير القدرات والمهارات</t>
        </is>
      </c>
      <c r="D16" s="2" t="inlineStr">
        <is>
          <t>الوثائق</t>
        </is>
      </c>
      <c r="E16" s="2" t="inlineStr">
        <is>
          <t>C</t>
        </is>
      </c>
      <c r="F16" s="2" t="n">
        <v>2</v>
      </c>
      <c r="G16" s="2" t="n">
        <v>2</v>
      </c>
      <c r="H16" s="6" t="inlineStr">
        <is>
          <t>covered</t>
        </is>
      </c>
      <c r="I16" s="2" t="inlineStr">
        <is>
          <t>T-F01, T-F01.7</t>
        </is>
      </c>
    </row>
    <row r="17">
      <c r="A17" s="2" t="inlineStr">
        <is>
          <t>DEL-DOC-012</t>
        </is>
      </c>
      <c r="B17" s="2" t="inlineStr">
        <is>
          <t>DOC-12</t>
        </is>
      </c>
      <c r="C17" s="3" t="inlineStr">
        <is>
          <t>وثيقة مبادئ البنية المؤسسية</t>
        </is>
      </c>
      <c r="D17" s="2" t="inlineStr">
        <is>
          <t>الوثائق</t>
        </is>
      </c>
      <c r="E17" s="2" t="inlineStr">
        <is>
          <t>C</t>
        </is>
      </c>
      <c r="F17" s="2" t="n">
        <v>1</v>
      </c>
      <c r="G17" s="2" t="n">
        <v>3</v>
      </c>
      <c r="H17" s="6" t="inlineStr">
        <is>
          <t>covered</t>
        </is>
      </c>
      <c r="I17" s="2" t="inlineStr">
        <is>
          <t>T-F01, T-F01.6, T-C2-04</t>
        </is>
      </c>
    </row>
    <row r="18">
      <c r="A18" s="2" t="inlineStr">
        <is>
          <t>DEL-DOC-013</t>
        </is>
      </c>
      <c r="B18" s="2" t="inlineStr">
        <is>
          <t>DOC-13</t>
        </is>
      </c>
      <c r="C18" s="3" t="inlineStr">
        <is>
          <t>وثيقة النموذج العام لمكونات البنية المؤسسية</t>
        </is>
      </c>
      <c r="D18" s="2" t="inlineStr">
        <is>
          <t>الوثائق</t>
        </is>
      </c>
      <c r="E18" s="2" t="inlineStr">
        <is>
          <t>D</t>
        </is>
      </c>
      <c r="F18" s="2" t="n">
        <v>1</v>
      </c>
      <c r="G18" s="2" t="n">
        <v>2</v>
      </c>
      <c r="H18" s="6" t="inlineStr">
        <is>
          <t>covered</t>
        </is>
      </c>
      <c r="I18" s="2" t="inlineStr">
        <is>
          <t>T-F01, T-F01.6</t>
        </is>
      </c>
    </row>
    <row r="19">
      <c r="A19" s="2" t="inlineStr">
        <is>
          <t>DEL-DOC-014</t>
        </is>
      </c>
      <c r="B19" s="2" t="inlineStr">
        <is>
          <t>DOC-14</t>
        </is>
      </c>
      <c r="C19" s="3" t="inlineStr">
        <is>
          <t>وثيقة مناظير البنية المؤسسية</t>
        </is>
      </c>
      <c r="D19" s="2" t="inlineStr">
        <is>
          <t>الوثائق</t>
        </is>
      </c>
      <c r="E19" s="2" t="inlineStr">
        <is>
          <t>D</t>
        </is>
      </c>
      <c r="F19" s="2" t="n">
        <v>1</v>
      </c>
      <c r="G19" s="2" t="n">
        <v>3</v>
      </c>
      <c r="H19" s="6" t="inlineStr">
        <is>
          <t>covered</t>
        </is>
      </c>
      <c r="I19" s="2" t="inlineStr">
        <is>
          <t>T-F01, T-F01.6, T-C2-04</t>
        </is>
      </c>
    </row>
    <row r="20">
      <c r="A20" s="2" t="inlineStr">
        <is>
          <t>DEL-DOC-015</t>
        </is>
      </c>
      <c r="B20" s="2" t="inlineStr">
        <is>
          <t>DOC-15</t>
        </is>
      </c>
      <c r="C20" s="3" t="inlineStr">
        <is>
          <t>وثيقة الميثاق العام لدورات تطوير مكونات البنية المؤسسية</t>
        </is>
      </c>
      <c r="D20" s="2" t="inlineStr">
        <is>
          <t>الوثائق</t>
        </is>
      </c>
      <c r="E20" s="2" t="inlineStr">
        <is>
          <t>D</t>
        </is>
      </c>
      <c r="F20" s="2" t="n">
        <v>0</v>
      </c>
      <c r="G20" s="2" t="n">
        <v>1</v>
      </c>
      <c r="H20" s="9" t="inlineStr">
        <is>
          <t>pending-generation</t>
        </is>
      </c>
      <c r="I20" s="2" t="inlineStr">
        <is>
          <t>T-SUB-01</t>
        </is>
      </c>
    </row>
    <row r="21">
      <c r="A21" s="2" t="inlineStr">
        <is>
          <t>DEL-DOC-016</t>
        </is>
      </c>
      <c r="B21" s="2" t="inlineStr">
        <is>
          <t>DOC-16</t>
        </is>
      </c>
      <c r="C21" s="3" t="inlineStr">
        <is>
          <t>وثيقة ميثاق دورة تطوير مكونات البنية المؤسسية</t>
        </is>
      </c>
      <c r="D21" s="2" t="inlineStr">
        <is>
          <t>الوثائق</t>
        </is>
      </c>
      <c r="E21" s="2" t="inlineStr">
        <is>
          <t>D</t>
        </is>
      </c>
      <c r="F21" s="2" t="n">
        <v>0</v>
      </c>
      <c r="G21" s="2" t="n">
        <v>1</v>
      </c>
      <c r="H21" s="9" t="inlineStr">
        <is>
          <t>pending-generation</t>
        </is>
      </c>
      <c r="I21" s="2" t="inlineStr">
        <is>
          <t>T-C2-01</t>
        </is>
      </c>
    </row>
    <row r="22">
      <c r="A22" s="2" t="inlineStr">
        <is>
          <t>DEL-DOC-017</t>
        </is>
      </c>
      <c r="B22" s="2" t="inlineStr">
        <is>
          <t>DOC-17</t>
        </is>
      </c>
      <c r="C22" s="3" t="inlineStr">
        <is>
          <t>وثيقة دورة تطوير مكونات البنية المؤسسية</t>
        </is>
      </c>
      <c r="D22" s="2" t="inlineStr">
        <is>
          <t>الوثائق</t>
        </is>
      </c>
      <c r="E22" s="2" t="inlineStr">
        <is>
          <t>D</t>
        </is>
      </c>
      <c r="F22" s="2" t="n">
        <v>8</v>
      </c>
      <c r="G22" s="2" t="n">
        <v>4</v>
      </c>
      <c r="H22" s="6" t="inlineStr">
        <is>
          <t>covered</t>
        </is>
      </c>
      <c r="I22" s="2" t="inlineStr">
        <is>
          <t>T-C1-01, T-C1-02, T-C1-03, T-C2-02</t>
        </is>
      </c>
    </row>
    <row r="23">
      <c r="A23" s="2" t="inlineStr">
        <is>
          <t>DEL-DOC-018</t>
        </is>
      </c>
      <c r="B23" s="2" t="inlineStr">
        <is>
          <t>DOC-18</t>
        </is>
      </c>
      <c r="C23" s="3" t="inlineStr">
        <is>
          <t>وثيقة النماذج المرجعية للبنية المؤسسية</t>
        </is>
      </c>
      <c r="D23" s="2" t="inlineStr">
        <is>
          <t>الوثائق</t>
        </is>
      </c>
      <c r="E23" s="2" t="inlineStr">
        <is>
          <t>D</t>
        </is>
      </c>
      <c r="F23" s="2" t="n">
        <v>1</v>
      </c>
      <c r="G23" s="2" t="n">
        <v>3</v>
      </c>
      <c r="H23" s="6" t="inlineStr">
        <is>
          <t>covered</t>
        </is>
      </c>
      <c r="I23" s="2" t="inlineStr">
        <is>
          <t>T-F01, T-F01.6, T-C2-04</t>
        </is>
      </c>
    </row>
    <row r="24">
      <c r="A24" s="2" t="inlineStr">
        <is>
          <t>DEL-DOC-019</t>
        </is>
      </c>
      <c r="B24" s="2" t="inlineStr">
        <is>
          <t>DOC-19</t>
        </is>
      </c>
      <c r="C24" s="3" t="inlineStr">
        <is>
          <t>وثيقة خارطة الطريق للتحول الرقمي</t>
        </is>
      </c>
      <c r="D24" s="2" t="inlineStr">
        <is>
          <t>الوثائق</t>
        </is>
      </c>
      <c r="E24" s="2" t="inlineStr">
        <is>
          <t>E</t>
        </is>
      </c>
      <c r="F24" s="2" t="n">
        <v>2</v>
      </c>
      <c r="G24" s="2" t="n">
        <v>2</v>
      </c>
      <c r="H24" s="6" t="inlineStr">
        <is>
          <t>covered</t>
        </is>
      </c>
      <c r="I24" s="2" t="inlineStr">
        <is>
          <t>T-C1-04, T-C2-03</t>
        </is>
      </c>
    </row>
    <row r="25">
      <c r="A25" s="2" t="inlineStr">
        <is>
          <t>DEL-DOC-020</t>
        </is>
      </c>
      <c r="B25" s="2" t="inlineStr">
        <is>
          <t>DOC-20</t>
        </is>
      </c>
      <c r="C25" s="3" t="inlineStr">
        <is>
          <t>وثيقة متطلبات البنية المؤسسية</t>
        </is>
      </c>
      <c r="D25" s="2" t="inlineStr">
        <is>
          <t>الوثائق</t>
        </is>
      </c>
      <c r="E25" s="2" t="inlineStr">
        <is>
          <t>D</t>
        </is>
      </c>
      <c r="F25" s="2" t="n">
        <v>2</v>
      </c>
      <c r="G25" s="2" t="n">
        <v>1</v>
      </c>
      <c r="H25" s="6" t="inlineStr">
        <is>
          <t>covered</t>
        </is>
      </c>
      <c r="I25" s="2" t="inlineStr">
        <is>
          <t>T-C1-05</t>
        </is>
      </c>
    </row>
    <row r="26">
      <c r="A26" s="2" t="inlineStr">
        <is>
          <t>DEL-RPT-001</t>
        </is>
      </c>
      <c r="B26" s="2" t="inlineStr">
        <is>
          <t>RPT-01</t>
        </is>
      </c>
      <c r="C26" s="3" t="inlineStr">
        <is>
          <t>التقرير الشهري لحالة انجاز أعمال البنية المؤسسية</t>
        </is>
      </c>
      <c r="D26" s="2" t="inlineStr">
        <is>
          <t>التقارير</t>
        </is>
      </c>
      <c r="E26" s="2" t="inlineStr">
        <is>
          <t>F</t>
        </is>
      </c>
      <c r="F26" s="2" t="n">
        <v>0</v>
      </c>
      <c r="G26" s="2" t="n">
        <v>0</v>
      </c>
      <c r="H26" s="13" t="inlineStr">
        <is>
          <t>not-applicable</t>
        </is>
      </c>
      <c r="I26" s="2" t="inlineStr"/>
    </row>
    <row r="27">
      <c r="A27" s="2" t="inlineStr">
        <is>
          <t>DEL-RPT-002</t>
        </is>
      </c>
      <c r="B27" s="2" t="inlineStr">
        <is>
          <t>RPT-02</t>
        </is>
      </c>
      <c r="C27" s="3" t="inlineStr">
        <is>
          <t>التقرير الربعي لحالة انجاز أعمال البنية المؤسسية</t>
        </is>
      </c>
      <c r="D27" s="2" t="inlineStr">
        <is>
          <t>التقارير</t>
        </is>
      </c>
      <c r="E27" s="2" t="inlineStr">
        <is>
          <t>F</t>
        </is>
      </c>
      <c r="F27" s="2" t="n">
        <v>4</v>
      </c>
      <c r="G27" s="2" t="n">
        <v>1</v>
      </c>
      <c r="H27" s="6" t="inlineStr">
        <is>
          <t>covered</t>
        </is>
      </c>
      <c r="I27" s="2" t="inlineStr">
        <is>
          <t>T-C1-08</t>
        </is>
      </c>
    </row>
    <row r="28">
      <c r="A28" s="2" t="inlineStr">
        <is>
          <t>DEL-RPT-003</t>
        </is>
      </c>
      <c r="B28" s="2" t="inlineStr">
        <is>
          <t>RPT-03</t>
        </is>
      </c>
      <c r="C28" s="3" t="inlineStr">
        <is>
          <t>التقرير السنوي لحالة انجاز أعمال البنية المؤسسية</t>
        </is>
      </c>
      <c r="D28" s="2" t="inlineStr">
        <is>
          <t>التقارير</t>
        </is>
      </c>
      <c r="E28" s="2" t="inlineStr">
        <is>
          <t>F</t>
        </is>
      </c>
      <c r="F28" s="2" t="n">
        <v>0</v>
      </c>
      <c r="G28" s="2" t="n">
        <v>0</v>
      </c>
      <c r="H28" s="13" t="inlineStr">
        <is>
          <t>not-applicable</t>
        </is>
      </c>
      <c r="I28" s="2" t="inlineStr"/>
    </row>
    <row r="29">
      <c r="A29" s="2" t="inlineStr">
        <is>
          <t>DEL-RPT-004</t>
        </is>
      </c>
      <c r="B29" s="2" t="inlineStr">
        <is>
          <t>RPT-04</t>
        </is>
      </c>
      <c r="C29" s="3" t="inlineStr">
        <is>
          <t>تقرير انتهاء دورات تطوير مكونات البنية المؤسسية</t>
        </is>
      </c>
      <c r="D29" s="2" t="inlineStr">
        <is>
          <t>التقارير</t>
        </is>
      </c>
      <c r="E29" s="2" t="inlineStr">
        <is>
          <t>F</t>
        </is>
      </c>
      <c r="F29" s="2" t="n">
        <v>0</v>
      </c>
      <c r="G29" s="2" t="n">
        <v>2</v>
      </c>
      <c r="H29" s="9" t="inlineStr">
        <is>
          <t>pending-generation</t>
        </is>
      </c>
      <c r="I29" s="2" t="inlineStr">
        <is>
          <t>T-C1-09, T-C2-05</t>
        </is>
      </c>
    </row>
    <row r="30">
      <c r="A30" s="2" t="inlineStr">
        <is>
          <t>DEL-RPT-005</t>
        </is>
      </c>
      <c r="B30" s="2" t="inlineStr">
        <is>
          <t>RPT-05</t>
        </is>
      </c>
      <c r="C30" s="3" t="inlineStr">
        <is>
          <t>تقرير حالات دراسية لتطبيقات التقنيات الناشئة والحديثة</t>
        </is>
      </c>
      <c r="D30" s="2" t="inlineStr">
        <is>
          <t>التقارير</t>
        </is>
      </c>
      <c r="E30" s="2" t="inlineStr">
        <is>
          <t>F</t>
        </is>
      </c>
      <c r="F30" s="2" t="n">
        <v>0</v>
      </c>
      <c r="G30" s="2" t="n">
        <v>0</v>
      </c>
      <c r="H30" s="13" t="inlineStr">
        <is>
          <t>not-applicable</t>
        </is>
      </c>
      <c r="I30" s="2" t="inlineStr"/>
    </row>
    <row r="31">
      <c r="A31" s="2" t="inlineStr">
        <is>
          <t>DEL-RPT-006</t>
        </is>
      </c>
      <c r="B31" s="2" t="inlineStr">
        <is>
          <t>RPT-06</t>
        </is>
      </c>
      <c r="C31" s="3" t="inlineStr">
        <is>
          <t>تقرير دراسة مقارنة معيارية وتحديد أداة البنية المؤسسية وتقييمها</t>
        </is>
      </c>
      <c r="D31" s="2" t="inlineStr">
        <is>
          <t>التقارير</t>
        </is>
      </c>
      <c r="E31" s="2" t="inlineStr">
        <is>
          <t>F</t>
        </is>
      </c>
      <c r="F31" s="2" t="n">
        <v>0</v>
      </c>
      <c r="G31" s="2" t="n">
        <v>0</v>
      </c>
      <c r="H31" s="13" t="inlineStr">
        <is>
          <t>not-applicable</t>
        </is>
      </c>
      <c r="I31" s="2" t="inlineStr"/>
    </row>
    <row r="32">
      <c r="A32" s="2" t="inlineStr">
        <is>
          <t>DEL-RPT-007</t>
        </is>
      </c>
      <c r="B32" s="2" t="inlineStr">
        <is>
          <t>RPT-07</t>
        </is>
      </c>
      <c r="C32" s="3" t="inlineStr">
        <is>
          <t>تقرير دراسة أثر التغيير على متطلبات البنية المؤسسية</t>
        </is>
      </c>
      <c r="D32" s="2" t="inlineStr">
        <is>
          <t>التقارير</t>
        </is>
      </c>
      <c r="E32" s="2" t="inlineStr">
        <is>
          <t>F</t>
        </is>
      </c>
      <c r="F32" s="2" t="n">
        <v>0</v>
      </c>
      <c r="G32" s="2" t="n">
        <v>1</v>
      </c>
      <c r="H32" s="9" t="inlineStr">
        <is>
          <t>pending-generation</t>
        </is>
      </c>
      <c r="I32" s="2" t="inlineStr">
        <is>
          <t>T-CT-03</t>
        </is>
      </c>
    </row>
    <row r="33">
      <c r="A33" s="2" t="inlineStr">
        <is>
          <t>DEL-RPT-008</t>
        </is>
      </c>
      <c r="B33" s="2" t="inlineStr">
        <is>
          <t>RPT-08</t>
        </is>
      </c>
      <c r="C33" s="3" t="inlineStr">
        <is>
          <t>تقرير دراسة أثر التغيير على مبادئ البنية المؤسسية</t>
        </is>
      </c>
      <c r="D33" s="2" t="inlineStr">
        <is>
          <t>التقارير</t>
        </is>
      </c>
      <c r="E33" s="2" t="inlineStr">
        <is>
          <t>F</t>
        </is>
      </c>
      <c r="F33" s="2" t="n">
        <v>0</v>
      </c>
      <c r="G33" s="2" t="n">
        <v>1</v>
      </c>
      <c r="H33" s="9" t="inlineStr">
        <is>
          <t>pending-generation</t>
        </is>
      </c>
      <c r="I33" s="2" t="inlineStr">
        <is>
          <t>T-CT-04</t>
        </is>
      </c>
    </row>
    <row r="34">
      <c r="A34" s="2" t="inlineStr">
        <is>
          <t>DEL-RPT-009</t>
        </is>
      </c>
      <c r="B34" s="2" t="inlineStr">
        <is>
          <t>RPT-09</t>
        </is>
      </c>
      <c r="C34" s="3" t="inlineStr">
        <is>
          <t>تقرير الامتثال لمبادئ البنية المؤسسية</t>
        </is>
      </c>
      <c r="D34" s="2" t="inlineStr">
        <is>
          <t>التقارير</t>
        </is>
      </c>
      <c r="E34" s="2" t="inlineStr">
        <is>
          <t>F</t>
        </is>
      </c>
      <c r="F34" s="2" t="n">
        <v>0</v>
      </c>
      <c r="G34" s="2" t="n">
        <v>0</v>
      </c>
      <c r="H34" s="13" t="inlineStr">
        <is>
          <t>not-applicable</t>
        </is>
      </c>
      <c r="I34" s="2" t="inlineStr"/>
    </row>
    <row r="35">
      <c r="A35" s="2" t="inlineStr">
        <is>
          <t>DEL-DEC-001</t>
        </is>
      </c>
      <c r="B35" s="2" t="inlineStr">
        <is>
          <t>DEC-01</t>
        </is>
      </c>
      <c r="C35" s="3" t="inlineStr">
        <is>
          <t>قرارات تعيين و/أو تكليف رسمي لفريق عمل الوحدة التنظيمية للبنية المؤسسية</t>
        </is>
      </c>
      <c r="D35" s="2" t="inlineStr">
        <is>
          <t>القرارات</t>
        </is>
      </c>
      <c r="E35" s="2" t="inlineStr">
        <is>
          <t>B</t>
        </is>
      </c>
      <c r="F35" s="2" t="n">
        <v>1</v>
      </c>
      <c r="G35" s="2" t="n">
        <v>2</v>
      </c>
      <c r="H35" s="6" t="inlineStr">
        <is>
          <t>covered</t>
        </is>
      </c>
      <c r="I35" s="2" t="inlineStr">
        <is>
          <t>T-F01, T-F01.1</t>
        </is>
      </c>
    </row>
    <row r="36">
      <c r="A36" s="2" t="inlineStr">
        <is>
          <t>DEL-DEC-002</t>
        </is>
      </c>
      <c r="B36" s="2" t="inlineStr">
        <is>
          <t>DEC-02</t>
        </is>
      </c>
      <c r="C36" s="3" t="inlineStr">
        <is>
          <t>قرار تعيين كبير مهندسي البنية المؤسسية (مدير الوحدة التنظيمية)</t>
        </is>
      </c>
      <c r="D36" s="2" t="inlineStr">
        <is>
          <t>القرارات</t>
        </is>
      </c>
      <c r="E36" s="2" t="inlineStr">
        <is>
          <t>B</t>
        </is>
      </c>
      <c r="F36" s="2" t="n">
        <v>1</v>
      </c>
      <c r="G36" s="2" t="n">
        <v>2</v>
      </c>
      <c r="H36" s="6" t="inlineStr">
        <is>
          <t>covered</t>
        </is>
      </c>
      <c r="I36" s="2" t="inlineStr">
        <is>
          <t>T-F01, T-F01.2</t>
        </is>
      </c>
    </row>
    <row r="37">
      <c r="A37" s="2" t="inlineStr">
        <is>
          <t>DEL-DEC-003</t>
        </is>
      </c>
      <c r="B37" s="2" t="inlineStr">
        <is>
          <t>DEC-03</t>
        </is>
      </c>
      <c r="C37" s="3" t="inlineStr">
        <is>
          <t>قرار تأسيس الوحدة التنظيمية للبنية المؤسسية</t>
        </is>
      </c>
      <c r="D37" s="2" t="inlineStr">
        <is>
          <t>القرارات</t>
        </is>
      </c>
      <c r="E37" s="2" t="inlineStr">
        <is>
          <t>B</t>
        </is>
      </c>
      <c r="F37" s="2" t="n">
        <v>0</v>
      </c>
      <c r="G37" s="2" t="n">
        <v>0</v>
      </c>
      <c r="H37" s="13" t="inlineStr">
        <is>
          <t>not-applicable</t>
        </is>
      </c>
      <c r="I37" s="2" t="inlineStr"/>
    </row>
    <row r="38">
      <c r="A38" s="2" t="inlineStr">
        <is>
          <t>DEL-DEC-004</t>
        </is>
      </c>
      <c r="B38" s="2" t="inlineStr">
        <is>
          <t>DEC-04</t>
        </is>
      </c>
      <c r="C38" s="3" t="inlineStr">
        <is>
          <t>قرار تشكيل لجنة حوكمة البنية المؤسسية</t>
        </is>
      </c>
      <c r="D38" s="2" t="inlineStr">
        <is>
          <t>القرارات</t>
        </is>
      </c>
      <c r="E38" s="2" t="inlineStr">
        <is>
          <t>B</t>
        </is>
      </c>
      <c r="F38" s="2" t="n">
        <v>0</v>
      </c>
      <c r="G38" s="2" t="n">
        <v>0</v>
      </c>
      <c r="H38" s="13" t="inlineStr">
        <is>
          <t>not-applicable</t>
        </is>
      </c>
      <c r="I38" s="2" t="inlineStr"/>
    </row>
    <row r="39">
      <c r="A39" s="2" t="inlineStr">
        <is>
          <t>DEL-DEC-005</t>
        </is>
      </c>
      <c r="B39" s="2" t="inlineStr">
        <is>
          <t>DEC-05</t>
        </is>
      </c>
      <c r="C39" s="3" t="inlineStr">
        <is>
          <t>قرار تعميم ونشر نموذج الحوكمة</t>
        </is>
      </c>
      <c r="D39" s="2" t="inlineStr">
        <is>
          <t>القرارات</t>
        </is>
      </c>
      <c r="E39" s="2" t="inlineStr">
        <is>
          <t>B</t>
        </is>
      </c>
      <c r="F39" s="2" t="n">
        <v>0</v>
      </c>
      <c r="G39" s="2" t="n">
        <v>0</v>
      </c>
      <c r="H39" s="13" t="inlineStr">
        <is>
          <t>not-applicable</t>
        </is>
      </c>
      <c r="I39" s="2" t="inlineStr"/>
    </row>
    <row r="40">
      <c r="A40" s="2" t="inlineStr">
        <is>
          <t>DEL-MIN-001</t>
        </is>
      </c>
      <c r="B40" s="2" t="inlineStr">
        <is>
          <t>MIN-01</t>
        </is>
      </c>
      <c r="C40" s="3" t="inlineStr">
        <is>
          <t>محاضر اعتماد مخرجات ممارسة البنية المؤسسية</t>
        </is>
      </c>
      <c r="D40" s="2" t="inlineStr">
        <is>
          <t>المحاضر</t>
        </is>
      </c>
      <c r="E40" s="2" t="inlineStr">
        <is>
          <t>F</t>
        </is>
      </c>
      <c r="F40" s="2" t="n">
        <v>0</v>
      </c>
      <c r="G40" s="2" t="n">
        <v>2</v>
      </c>
      <c r="H40" s="9" t="inlineStr">
        <is>
          <t>pending-generation</t>
        </is>
      </c>
      <c r="I40" s="2" t="inlineStr">
        <is>
          <t>T-CT-02, T-CT-06</t>
        </is>
      </c>
    </row>
    <row r="41">
      <c r="A41" s="2" t="inlineStr">
        <is>
          <t>DEL-MIN-002</t>
        </is>
      </c>
      <c r="B41" s="2" t="inlineStr">
        <is>
          <t>MIN-02</t>
        </is>
      </c>
      <c r="C41" s="3" t="inlineStr">
        <is>
          <t>محاضر اجتماعات اللجان الرقمية (آخر 4 اجتماعات لكل لجنة)</t>
        </is>
      </c>
      <c r="D41" s="2" t="inlineStr">
        <is>
          <t>المحاضر</t>
        </is>
      </c>
      <c r="E41" s="2" t="inlineStr">
        <is>
          <t>F</t>
        </is>
      </c>
      <c r="F41" s="2" t="n">
        <v>12</v>
      </c>
      <c r="G41" s="2" t="n">
        <v>1</v>
      </c>
      <c r="H41" s="6" t="inlineStr">
        <is>
          <t>covered</t>
        </is>
      </c>
      <c r="I41" s="2" t="inlineStr">
        <is>
          <t>T-CT-07</t>
        </is>
      </c>
    </row>
    <row r="42">
      <c r="A42" s="2" t="inlineStr">
        <is>
          <t>DEL-EVI-001</t>
        </is>
      </c>
      <c r="B42" s="2" t="inlineStr">
        <is>
          <t>EVI-01</t>
        </is>
      </c>
      <c r="C42" s="3" t="inlineStr">
        <is>
          <t>إنجاز خطة تطوير القدرات والمهارات</t>
        </is>
      </c>
      <c r="D42" s="2" t="inlineStr">
        <is>
          <t>الشواهد</t>
        </is>
      </c>
      <c r="E42" s="2" t="inlineStr">
        <is>
          <t>F</t>
        </is>
      </c>
      <c r="F42" s="2" t="n">
        <v>12</v>
      </c>
      <c r="G42" s="2" t="n">
        <v>1</v>
      </c>
      <c r="H42" s="6" t="inlineStr">
        <is>
          <t>covered</t>
        </is>
      </c>
      <c r="I42" s="2" t="inlineStr">
        <is>
          <t>T-C1-07</t>
        </is>
      </c>
    </row>
    <row r="43">
      <c r="A43" s="2" t="inlineStr">
        <is>
          <t>DEL-EVI-002</t>
        </is>
      </c>
      <c r="B43" s="2" t="inlineStr">
        <is>
          <t>EVI-02</t>
        </is>
      </c>
      <c r="C43" s="3" t="inlineStr">
        <is>
          <t>إنجاز خطة تعزيز الوعي</t>
        </is>
      </c>
      <c r="D43" s="2" t="inlineStr">
        <is>
          <t>الشواهد</t>
        </is>
      </c>
      <c r="E43" s="2" t="inlineStr">
        <is>
          <t>F</t>
        </is>
      </c>
      <c r="F43" s="2" t="n">
        <v>20</v>
      </c>
      <c r="G43" s="2" t="n">
        <v>1</v>
      </c>
      <c r="H43" s="6" t="inlineStr">
        <is>
          <t>covered</t>
        </is>
      </c>
      <c r="I43" s="2" t="inlineStr">
        <is>
          <t>T-C1-06</t>
        </is>
      </c>
    </row>
    <row r="44">
      <c r="A44" s="2" t="inlineStr">
        <is>
          <t>DEL-EVI-003</t>
        </is>
      </c>
      <c r="B44" s="2" t="inlineStr">
        <is>
          <t>EVI-03</t>
        </is>
      </c>
      <c r="C44" s="3" t="inlineStr">
        <is>
          <t>رقمنة خدمات البنية المؤسسية</t>
        </is>
      </c>
      <c r="D44" s="2" t="inlineStr">
        <is>
          <t>الشواهد</t>
        </is>
      </c>
      <c r="E44" s="2" t="inlineStr">
        <is>
          <t>F</t>
        </is>
      </c>
      <c r="F44" s="2" t="n">
        <v>0</v>
      </c>
      <c r="G44" s="2" t="n">
        <v>0</v>
      </c>
      <c r="H44" s="13" t="inlineStr">
        <is>
          <t>not-applicable</t>
        </is>
      </c>
      <c r="I44" s="2" t="inlineStr"/>
    </row>
    <row r="45">
      <c r="A45" s="2" t="inlineStr">
        <is>
          <t>DEL-EVI-004</t>
        </is>
      </c>
      <c r="B45" s="2" t="inlineStr">
        <is>
          <t>EVI-04</t>
        </is>
      </c>
      <c r="C45" s="3" t="inlineStr">
        <is>
          <t>رقمنة إجراءات عمل البنية المؤسسية</t>
        </is>
      </c>
      <c r="D45" s="2" t="inlineStr">
        <is>
          <t>الشواهد</t>
        </is>
      </c>
      <c r="E45" s="2" t="inlineStr">
        <is>
          <t>F</t>
        </is>
      </c>
      <c r="F45" s="2" t="n">
        <v>0</v>
      </c>
      <c r="G45" s="2" t="n">
        <v>0</v>
      </c>
      <c r="H45" s="13" t="inlineStr">
        <is>
          <t>not-applicable</t>
        </is>
      </c>
      <c r="I45" s="2" t="inlineStr"/>
    </row>
    <row r="46">
      <c r="A46" s="2" t="inlineStr">
        <is>
          <t>DEL-EVI-005</t>
        </is>
      </c>
      <c r="B46" s="2" t="inlineStr">
        <is>
          <t>EVI-05</t>
        </is>
      </c>
      <c r="C46" s="3" t="inlineStr">
        <is>
          <t>انجاز أعمال البنية المؤسسية عبر التكامل مع الوحدات التنظيمية</t>
        </is>
      </c>
      <c r="D46" s="2" t="inlineStr">
        <is>
          <t>الشواهد</t>
        </is>
      </c>
      <c r="E46" s="2" t="inlineStr">
        <is>
          <t>F</t>
        </is>
      </c>
      <c r="F46" s="2" t="n">
        <v>0</v>
      </c>
      <c r="G46" s="2" t="n">
        <v>0</v>
      </c>
      <c r="H46" s="13" t="inlineStr">
        <is>
          <t>not-applicable</t>
        </is>
      </c>
      <c r="I46" s="2" t="inlineStr"/>
    </row>
    <row r="47">
      <c r="A47" s="2" t="inlineStr">
        <is>
          <t>DEL-OTH-001</t>
        </is>
      </c>
      <c r="B47" s="2" t="inlineStr">
        <is>
          <t>OTH-01</t>
        </is>
      </c>
      <c r="C47" s="3" t="inlineStr">
        <is>
          <t>عقود تشغيلية و/أو استشارية لفريق عمل الوحدة التنظيمية للبنية المؤسسية</t>
        </is>
      </c>
      <c r="D47" s="2" t="inlineStr">
        <is>
          <t>ملفات أخرى</t>
        </is>
      </c>
      <c r="E47" s="2" t="inlineStr">
        <is>
          <t>B</t>
        </is>
      </c>
      <c r="F47" s="2" t="n">
        <v>0</v>
      </c>
      <c r="G47" s="2" t="n">
        <v>0</v>
      </c>
      <c r="H47" s="13" t="inlineStr">
        <is>
          <t>not-applicable</t>
        </is>
      </c>
      <c r="I47" s="2" t="inlineStr"/>
    </row>
    <row r="48">
      <c r="A48" s="2" t="inlineStr">
        <is>
          <t>DEL-OTH-002</t>
        </is>
      </c>
      <c r="B48" s="2" t="inlineStr">
        <is>
          <t>OTH-02</t>
        </is>
      </c>
      <c r="C48" s="3" t="inlineStr">
        <is>
          <t>سجل أصحاب المصلحة الداخليين والخارجيين</t>
        </is>
      </c>
      <c r="D48" s="2" t="inlineStr">
        <is>
          <t>ملفات أخرى</t>
        </is>
      </c>
      <c r="E48" s="2" t="inlineStr">
        <is>
          <t>B</t>
        </is>
      </c>
      <c r="F48" s="2" t="n">
        <v>0</v>
      </c>
      <c r="G48" s="2" t="n">
        <v>0</v>
      </c>
      <c r="H48" s="13" t="inlineStr">
        <is>
          <t>not-applicable</t>
        </is>
      </c>
      <c r="I48" s="2" t="inlineStr"/>
    </row>
    <row r="49">
      <c r="A49" s="2" t="inlineStr">
        <is>
          <t>DEL-OTH-003</t>
        </is>
      </c>
      <c r="B49" s="2" t="inlineStr">
        <is>
          <t>OTH-03</t>
        </is>
      </c>
      <c r="C49" s="3" t="inlineStr">
        <is>
          <t>نماذج موحدة لحصر بيانات مكونات البنية المؤسسية</t>
        </is>
      </c>
      <c r="D49" s="2" t="inlineStr">
        <is>
          <t>ملفات أخرى</t>
        </is>
      </c>
      <c r="E49" s="2" t="inlineStr">
        <is>
          <t>B</t>
        </is>
      </c>
      <c r="F49" s="2" t="n">
        <v>0</v>
      </c>
      <c r="G49" s="2" t="n">
        <v>0</v>
      </c>
      <c r="H49" s="13" t="inlineStr">
        <is>
          <t>not-applicable</t>
        </is>
      </c>
      <c r="I49" s="2" t="inlineStr"/>
    </row>
    <row r="50">
      <c r="A50" s="2" t="inlineStr">
        <is>
          <t>DEL-OTH-004</t>
        </is>
      </c>
      <c r="B50" s="2" t="inlineStr">
        <is>
          <t>OTH-04</t>
        </is>
      </c>
      <c r="C50" s="3" t="inlineStr">
        <is>
          <t>بطاقات الوصف الوظيفي</t>
        </is>
      </c>
      <c r="D50" s="2" t="inlineStr">
        <is>
          <t>ملفات أخرى</t>
        </is>
      </c>
      <c r="E50" s="2" t="inlineStr">
        <is>
          <t>B</t>
        </is>
      </c>
      <c r="F50" s="2" t="n">
        <v>0</v>
      </c>
      <c r="G50" s="2" t="n">
        <v>0</v>
      </c>
      <c r="H50" s="13" t="inlineStr">
        <is>
          <t>not-applicable</t>
        </is>
      </c>
      <c r="I50" s="2" t="inlineStr"/>
    </row>
    <row r="51"/>
    <row r="52">
      <c r="A52" s="16" t="inlineStr">
        <is>
          <t>Total deliverables:</t>
        </is>
      </c>
      <c r="C52" s="16" t="n">
        <v>49</v>
      </c>
    </row>
    <row r="53">
      <c r="A53" s="16" t="inlineStr">
        <is>
          <t>Coverage covered (files + tasks):</t>
        </is>
      </c>
      <c r="C53" s="16">
        <f>COUNTIF(H2:H51,"covered")</f>
        <v/>
      </c>
    </row>
    <row r="54">
      <c r="A54" s="16" t="inlineStr">
        <is>
          <t>Pending-generation (M3+M4):</t>
        </is>
      </c>
      <c r="C54" s="16">
        <f>COUNTIF(H2:H51,"pending-generation")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rightToLeft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4" customWidth="1" min="7" max="7"/>
  </cols>
  <sheetData>
    <row r="1">
      <c r="A1" s="1" t="inlineStr">
        <is>
          <t>month</t>
        </is>
      </c>
      <c r="B1" s="1" t="inlineStr">
        <is>
          <t>foundation</t>
        </is>
      </c>
      <c r="C1" s="1" t="inlineStr">
        <is>
          <t>cycle_1</t>
        </is>
      </c>
      <c r="D1" s="1" t="inlineStr">
        <is>
          <t>cycle_2_trigger</t>
        </is>
      </c>
      <c r="E1" s="1" t="inlineStr">
        <is>
          <t>cycle_2</t>
        </is>
      </c>
      <c r="F1" s="1" t="inlineStr">
        <is>
          <t>submission</t>
        </is>
      </c>
      <c r="G1" s="1" t="inlineStr">
        <is>
          <t>total_active</t>
        </is>
      </c>
    </row>
    <row r="2">
      <c r="A2" s="21" t="inlineStr">
        <is>
          <t>2024-07</t>
        </is>
      </c>
      <c r="B2" s="21" t="n">
        <v>1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1</v>
      </c>
    </row>
    <row r="3">
      <c r="A3" s="21" t="inlineStr">
        <is>
          <t>2024-08</t>
        </is>
      </c>
      <c r="B3" s="21" t="n">
        <v>2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2</v>
      </c>
    </row>
    <row r="4">
      <c r="A4" s="21" t="inlineStr">
        <is>
          <t>2024-09</t>
        </is>
      </c>
      <c r="B4" s="21" t="n">
        <v>5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5</v>
      </c>
    </row>
    <row r="5">
      <c r="A5" s="21" t="inlineStr">
        <is>
          <t>2024-10</t>
        </is>
      </c>
      <c r="B5" s="21" t="n">
        <v>4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4</v>
      </c>
    </row>
    <row r="6">
      <c r="A6" s="21" t="inlineStr">
        <is>
          <t>2024-11</t>
        </is>
      </c>
      <c r="B6" s="21" t="n">
        <v>4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4</v>
      </c>
    </row>
    <row r="7">
      <c r="A7" s="21" t="inlineStr">
        <is>
          <t>2024-12</t>
        </is>
      </c>
      <c r="B7" s="21" t="n">
        <v>4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4</v>
      </c>
    </row>
    <row r="8">
      <c r="A8" s="21" t="inlineStr">
        <is>
          <t>2025-01</t>
        </is>
      </c>
      <c r="B8" s="21" t="n">
        <v>0</v>
      </c>
      <c r="C8" s="21" t="n">
        <v>2</v>
      </c>
      <c r="D8" s="21" t="n">
        <v>0</v>
      </c>
      <c r="E8" s="21" t="n">
        <v>0</v>
      </c>
      <c r="F8" s="21" t="n">
        <v>0</v>
      </c>
      <c r="G8" s="21" t="n">
        <v>2</v>
      </c>
    </row>
    <row r="9">
      <c r="A9" s="21" t="inlineStr">
        <is>
          <t>2025-02</t>
        </is>
      </c>
      <c r="B9" s="21" t="n">
        <v>0</v>
      </c>
      <c r="C9" s="21" t="n">
        <v>3</v>
      </c>
      <c r="D9" s="21" t="n">
        <v>0</v>
      </c>
      <c r="E9" s="21" t="n">
        <v>0</v>
      </c>
      <c r="F9" s="21" t="n">
        <v>0</v>
      </c>
      <c r="G9" s="21" t="n">
        <v>3</v>
      </c>
    </row>
    <row r="10">
      <c r="A10" s="21" t="inlineStr">
        <is>
          <t>2025-03</t>
        </is>
      </c>
      <c r="B10" s="21" t="n">
        <v>0</v>
      </c>
      <c r="C10" s="21" t="n">
        <v>4</v>
      </c>
      <c r="D10" s="21" t="n">
        <v>0</v>
      </c>
      <c r="E10" s="21" t="n">
        <v>0</v>
      </c>
      <c r="F10" s="21" t="n">
        <v>0</v>
      </c>
      <c r="G10" s="21" t="n">
        <v>4</v>
      </c>
    </row>
    <row r="11">
      <c r="A11" s="21" t="inlineStr">
        <is>
          <t>2025-04</t>
        </is>
      </c>
      <c r="B11" s="21" t="n">
        <v>0</v>
      </c>
      <c r="C11" s="21" t="n">
        <v>7</v>
      </c>
      <c r="D11" s="21" t="n">
        <v>0</v>
      </c>
      <c r="E11" s="21" t="n">
        <v>0</v>
      </c>
      <c r="F11" s="21" t="n">
        <v>0</v>
      </c>
      <c r="G11" s="21" t="n">
        <v>7</v>
      </c>
    </row>
    <row r="12">
      <c r="A12" s="21" t="inlineStr">
        <is>
          <t>2025-05</t>
        </is>
      </c>
      <c r="B12" s="21" t="n">
        <v>0</v>
      </c>
      <c r="C12" s="21" t="n">
        <v>5</v>
      </c>
      <c r="D12" s="21" t="n">
        <v>0</v>
      </c>
      <c r="E12" s="21" t="n">
        <v>0</v>
      </c>
      <c r="F12" s="21" t="n">
        <v>0</v>
      </c>
      <c r="G12" s="21" t="n">
        <v>5</v>
      </c>
    </row>
    <row r="13">
      <c r="A13" s="21" t="inlineStr">
        <is>
          <t>2025-06</t>
        </is>
      </c>
      <c r="B13" s="21" t="n">
        <v>0</v>
      </c>
      <c r="C13" s="21" t="n">
        <v>5</v>
      </c>
      <c r="D13" s="21" t="n">
        <v>0</v>
      </c>
      <c r="E13" s="21" t="n">
        <v>0</v>
      </c>
      <c r="F13" s="21" t="n">
        <v>0</v>
      </c>
      <c r="G13" s="21" t="n">
        <v>5</v>
      </c>
    </row>
    <row r="14">
      <c r="A14" s="21" t="inlineStr">
        <is>
          <t>2025-07</t>
        </is>
      </c>
      <c r="B14" s="21" t="n">
        <v>0</v>
      </c>
      <c r="C14" s="21" t="n">
        <v>5</v>
      </c>
      <c r="D14" s="21" t="n">
        <v>0</v>
      </c>
      <c r="E14" s="21" t="n">
        <v>0</v>
      </c>
      <c r="F14" s="21" t="n">
        <v>0</v>
      </c>
      <c r="G14" s="21" t="n">
        <v>5</v>
      </c>
    </row>
    <row r="15">
      <c r="A15" s="21" t="inlineStr">
        <is>
          <t>2025-08</t>
        </is>
      </c>
      <c r="B15" s="21" t="n">
        <v>0</v>
      </c>
      <c r="C15" s="21" t="n">
        <v>4</v>
      </c>
      <c r="D15" s="21" t="n">
        <v>0</v>
      </c>
      <c r="E15" s="21" t="n">
        <v>0</v>
      </c>
      <c r="F15" s="21" t="n">
        <v>0</v>
      </c>
      <c r="G15" s="21" t="n">
        <v>4</v>
      </c>
    </row>
    <row r="16">
      <c r="A16" s="21" t="inlineStr">
        <is>
          <t>2025-09</t>
        </is>
      </c>
      <c r="B16" s="21" t="n">
        <v>0</v>
      </c>
      <c r="C16" s="21" t="n">
        <v>4</v>
      </c>
      <c r="D16" s="21" t="n">
        <v>0</v>
      </c>
      <c r="E16" s="21" t="n">
        <v>0</v>
      </c>
      <c r="F16" s="21" t="n">
        <v>0</v>
      </c>
      <c r="G16" s="21" t="n">
        <v>4</v>
      </c>
    </row>
    <row r="17">
      <c r="A17" s="21" t="inlineStr">
        <is>
          <t>2025-10</t>
        </is>
      </c>
      <c r="B17" s="21" t="n">
        <v>0</v>
      </c>
      <c r="C17" s="21" t="n">
        <v>2</v>
      </c>
      <c r="D17" s="21" t="n">
        <v>0</v>
      </c>
      <c r="E17" s="21" t="n">
        <v>0</v>
      </c>
      <c r="F17" s="21" t="n">
        <v>0</v>
      </c>
      <c r="G17" s="21" t="n">
        <v>2</v>
      </c>
    </row>
    <row r="18">
      <c r="A18" s="21" t="inlineStr">
        <is>
          <t>2025-11</t>
        </is>
      </c>
      <c r="B18" s="21" t="n">
        <v>0</v>
      </c>
      <c r="C18" s="21" t="n">
        <v>2</v>
      </c>
      <c r="D18" s="21" t="n">
        <v>3</v>
      </c>
      <c r="E18" s="21" t="n">
        <v>0</v>
      </c>
      <c r="F18" s="21" t="n">
        <v>0</v>
      </c>
      <c r="G18" s="21" t="n">
        <v>5</v>
      </c>
    </row>
    <row r="19">
      <c r="A19" s="21" t="inlineStr">
        <is>
          <t>2025-12</t>
        </is>
      </c>
      <c r="B19" s="21" t="n">
        <v>0</v>
      </c>
      <c r="C19" s="21" t="n">
        <v>2</v>
      </c>
      <c r="D19" s="21" t="n">
        <v>3</v>
      </c>
      <c r="E19" s="21" t="n">
        <v>0</v>
      </c>
      <c r="F19" s="21" t="n">
        <v>0</v>
      </c>
      <c r="G19" s="21" t="n">
        <v>5</v>
      </c>
    </row>
    <row r="20">
      <c r="A20" s="21" t="inlineStr">
        <is>
          <t>2026-01</t>
        </is>
      </c>
      <c r="B20" s="21" t="n">
        <v>0</v>
      </c>
      <c r="C20" s="21" t="n">
        <v>1</v>
      </c>
      <c r="D20" s="21" t="n">
        <v>3</v>
      </c>
      <c r="E20" s="21" t="n">
        <v>0</v>
      </c>
      <c r="F20" s="21" t="n">
        <v>0</v>
      </c>
      <c r="G20" s="21" t="n">
        <v>4</v>
      </c>
    </row>
    <row r="21">
      <c r="A21" s="21" t="inlineStr">
        <is>
          <t>2026-02</t>
        </is>
      </c>
      <c r="B21" s="21" t="n">
        <v>0</v>
      </c>
      <c r="C21" s="21" t="n">
        <v>0</v>
      </c>
      <c r="D21" s="21" t="n">
        <v>1</v>
      </c>
      <c r="E21" s="21" t="n">
        <v>3</v>
      </c>
      <c r="F21" s="21" t="n">
        <v>0</v>
      </c>
      <c r="G21" s="21" t="n">
        <v>4</v>
      </c>
    </row>
    <row r="22">
      <c r="A22" s="21" t="inlineStr">
        <is>
          <t>2026-03</t>
        </is>
      </c>
      <c r="B22" s="21" t="n">
        <v>0</v>
      </c>
      <c r="C22" s="21" t="n">
        <v>0</v>
      </c>
      <c r="D22" s="21" t="n">
        <v>0</v>
      </c>
      <c r="E22" s="21" t="n">
        <v>2</v>
      </c>
      <c r="F22" s="21" t="n">
        <v>0</v>
      </c>
      <c r="G22" s="21" t="n">
        <v>2</v>
      </c>
    </row>
    <row r="23">
      <c r="A23" s="21" t="inlineStr">
        <is>
          <t>2026-04</t>
        </is>
      </c>
      <c r="B23" s="21" t="n">
        <v>0</v>
      </c>
      <c r="C23" s="21" t="n">
        <v>0</v>
      </c>
      <c r="D23" s="21" t="n">
        <v>0</v>
      </c>
      <c r="E23" s="21" t="n">
        <v>3</v>
      </c>
      <c r="F23" s="21" t="n">
        <v>0</v>
      </c>
      <c r="G23" s="21" t="n">
        <v>3</v>
      </c>
    </row>
    <row r="24">
      <c r="A24" s="21" t="inlineStr">
        <is>
          <t>2026-05</t>
        </is>
      </c>
      <c r="B24" s="21" t="n">
        <v>0</v>
      </c>
      <c r="C24" s="21" t="n">
        <v>0</v>
      </c>
      <c r="D24" s="21" t="n">
        <v>0</v>
      </c>
      <c r="E24" s="21" t="n">
        <v>2</v>
      </c>
      <c r="F24" s="21" t="n">
        <v>0</v>
      </c>
      <c r="G24" s="21" t="n">
        <v>2</v>
      </c>
    </row>
    <row r="25">
      <c r="A25" s="21" t="inlineStr">
        <is>
          <t>2026-06</t>
        </is>
      </c>
      <c r="B25" s="21" t="n">
        <v>0</v>
      </c>
      <c r="C25" s="21" t="n">
        <v>0</v>
      </c>
      <c r="D25" s="21" t="n">
        <v>0</v>
      </c>
      <c r="E25" s="21" t="n">
        <v>2</v>
      </c>
      <c r="F25" s="21" t="n">
        <v>2</v>
      </c>
      <c r="G25" s="21" t="n">
        <v>4</v>
      </c>
    </row>
    <row r="26">
      <c r="A26" s="21" t="inlineStr">
        <is>
          <t>2026-07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2</v>
      </c>
      <c r="G26" s="21" t="n">
        <v>2</v>
      </c>
    </row>
  </sheetData>
  <conditionalFormatting sqref="B2:F26">
    <cfRule type="colorScale" priority="1">
      <colorScale>
        <cfvo type="num" val="0"/>
        <cfvo type="num" val="3"/>
        <cfvo type="num" val="10"/>
        <color rgb="00FFFFFF"/>
        <color rgb="00FFEB9C"/>
        <color rgb="00C00000"/>
      </colorScale>
    </cfRule>
  </conditionalFormatting>
  <conditionalFormatting sqref="G2:G26">
    <cfRule type="colorScale" priority="2">
      <colorScale>
        <cfvo type="num" val="0"/>
        <cfvo type="num" val="5"/>
        <cfvo type="num" val="15"/>
        <color rgb="00FFFFFF"/>
        <color rgb="00FFEB9C"/>
        <color rgb="00C0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2026-05-02T17:08:16Z</dcterms:created>
  <dcterms:modified xmlns:dcterms="http://purl.org/dc/terms/" xmlns:xsi="http://www.w3.org/2001/XMLSchema-instance" xsi:type="dcterms:W3CDTF">2026-05-02T17:08:16Z</dcterms:modified>
</cp:coreProperties>
</file>