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Critical-Path" sheetId="4" state="visible" r:id="rId4"/>
    <sheet xmlns:r="http://schemas.openxmlformats.org/officeDocument/2006/relationships" name="Timeline-Gantt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DGA-Coverage" sheetId="7" state="visible" r:id="rId7"/>
    <sheet xmlns:r="http://schemas.openxmlformats.org/officeDocument/2006/relationships" name="Heatmap" sheetId="8" state="visible" r:id="rId8"/>
    <sheet xmlns:r="http://schemas.openxmlformats.org/officeDocument/2006/relationships" name="Files-Mapping" sheetId="9" state="visible" r:id="rId9"/>
  </sheets>
  <definedNames>
    <definedName name="deadline">Inputs!$B$5</definedName>
    <definedName name="project_start">Inputs!$B$6</definedName>
    <definedName name="project_end">Inputs!$B$7</definedName>
    <definedName name="project_finish">'Critical-Path'!$L$2</definedName>
  </definedNames>
  <calcPr calcId="124519" fullCalcOnLoad="1" iterate="1" iterateCount="100" iterateDelta="0.00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Calibri"/>
      <b val="1"/>
      <color rgb="00FFFFFF"/>
      <sz val="11"/>
    </font>
    <font>
      <i val="1"/>
      <color rgb="00808080"/>
    </font>
    <font>
      <b val="1"/>
      <sz val="13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CD5CE"/>
      </patternFill>
    </fill>
    <fill>
      <patternFill patternType="solid">
        <fgColor rgb="00D9D9D9"/>
      </patternFill>
    </fill>
    <fill>
      <patternFill patternType="solid">
        <fgColor rgb="00BFBFBF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B084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right" vertical="center" wrapText="1" readingOrder="2"/>
    </xf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right" vertical="center" wrapText="1" readingOrder="2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3" fillId="14" borderId="1" applyAlignment="1" pivotButton="0" quotePrefix="0" xfId="0">
      <alignment horizontal="center" vertical="center" wrapText="1"/>
    </xf>
    <xf numFmtId="165" fontId="0" fillId="0" borderId="1" pivotButton="0" quotePrefix="0" xfId="0"/>
    <xf numFmtId="0" fontId="4" fillId="0" borderId="0" pivotButton="0" quotePrefix="0" xfId="0"/>
    <xf numFmtId="0" fontId="2" fillId="0" borderId="0" pivotButton="0" quotePrefix="0" xfId="0"/>
    <xf numFmtId="166" fontId="3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165" fontId="0" fillId="0" borderId="0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CD5CE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BFBFBF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B084"/>
        </patternFill>
      </fill>
    </dxf>
    <dxf>
      <fill>
        <patternFill patternType="solid">
          <fgColor rgb="00FFEBEB"/>
        </patternFill>
      </fill>
    </dxf>
    <dxf>
      <fill>
        <patternFill patternType="solid">
          <fgColor rgb="00FFD9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M2.2</author>
  </authors>
  <commentList>
    <comment ref="A2" authorId="0" shapeId="0">
      <text>
        <t>معرّف الوكالة (snake_case).</t>
      </text>
    </comment>
    <comment ref="A5" authorId="0" shapeId="0">
      <text>
        <t>تاريخ التقديم النهائي للجنة DGA. يُرجَع له في Scenarios sheet لحساب الـ slack to deadline. عَدِّله هنا فقط — كل الأوراق تَلتقط القيمة عبر اسم النطاق "deadline".</t>
      </text>
    </comment>
    <comment ref="A6" authorId="0" shapeId="0">
      <text>
        <t>بداية المشروع (أوّل مهمة start_date). يُستخدم لتحديد نطاق Gantt و Heatmap.</t>
      </text>
    </comment>
    <comment ref="A14" authorId="0" shapeId="0">
      <text>
        <t>معرّف الحالة. يُستخدَم في عمود status بـ Tasks وفي القواعد الشرطية.</t>
      </text>
    </comment>
    <comment ref="B14" authorId="0" shapeId="0">
      <text>
        <t>لون التعبئة (Hex بدون #). تَستخدمه قواعد التنسيق الشرطي في Tasks وScenarios وTimeline-Gantt.</t>
      </text>
    </comment>
    <comment ref="C14" authorId="0" shapeId="0">
      <text>
        <t>وصف موجز يَظهر في شرح الـ legend.</t>
      </text>
    </comment>
    <comment ref="A24" authorId="0" shapeId="0">
      <text>
        <t>معرّف المرحلة (يُستخدم في Tasks.phase + Heatmap headers).</t>
      </text>
    </comment>
    <comment ref="B24" authorId="0" shapeId="0">
      <text>
        <t>لون التعبئة لخلية المرحلة في Tasks.</t>
      </text>
    </comment>
    <comment ref="C24" authorId="0" shapeId="0">
      <text>
        <t>الاسم العربي للعرض.</t>
      </text>
    </comment>
  </commentList>
</comments>
</file>

<file path=xl/comments/comment2.xml><?xml version="1.0" encoding="utf-8"?>
<comments xmlns="http://schemas.openxmlformats.org/spreadsheetml/2006/main">
  <authors>
    <author>M2.2</author>
  </authors>
  <commentList>
    <comment ref="A1" authorId="0" shapeId="0">
      <text>
        <t>معرّف المهمة (مفتاح فريد). يُستخدم في Dependencies وCritical-Path وScenarios للربط.</t>
      </text>
    </comment>
    <comment ref="B1" authorId="0" shapeId="0">
      <text>
        <t>الاسم العربي الوصفي للمهمة.</t>
      </text>
    </comment>
    <comment ref="C1" authorId="0" shapeId="0">
      <text>
        <t>مرحلة المهمة (foundation/cycle_1/cycle_2_trigger/cycle_2/submission). يُلوَّن تلقائيًا عبر Inputs.phase_legend.</t>
      </text>
    </comment>
    <comment ref="D1" authorId="0" shapeId="0">
      <text>
        <t>مستوى المهمة (parent/sub/task). parent يَجمع sub-tasks ولا يُحسب في Heatmap.</t>
      </text>
    </comment>
    <comment ref="E1" authorId="0" shapeId="0">
      <text>
        <t>معرّف المهمة الأم (لـ sub-tasks). فارغ لـ parent/task.</t>
      </text>
    </comment>
    <comment ref="F1" authorId="0" shapeId="0">
      <text>
        <t>تاريخ البداية (YYYY-MM-DD). إذا غيَّرته، end_date يُعاد حسابه تلقائيًا.</t>
      </text>
    </comment>
    <comment ref="G1" authorId="0" shapeId="0">
      <text>
        <t>مدة المهمة بالأيام. غيِّرها هنا — end_date و Critical-Path و Gantt يتحدّثون تلقائيًا.</t>
      </text>
    </comment>
    <comment ref="H1" authorId="0" shapeId="0">
      <text>
        <t>صيغة: =start_date + duration_days. لا تُعدِّل يدويًا.</t>
      </text>
    </comment>
    <comment ref="I1" authorId="0" shapeId="0">
      <text>
        <t>مرحلة DGA (A/B/C/D/E/F/external). للتصنيف فقط، لا يَدخل في حساب.</t>
      </text>
    </comment>
    <comment ref="J1" authorId="0" shapeId="0">
      <text>
        <t>قائمة DEL-* مفصولة بفواصل. تُستخدم في DGA-Coverage عبر COUNTIF wildcard.</t>
      </text>
    </comment>
    <comment ref="K1" authorId="0" shapeId="0">
      <text>
        <t>عدد ملفات الشواهد المرجعية في timeline.json. (يُحدَّث يدويًا عند تعديل timeline.json).</t>
      </text>
    </comment>
    <comment ref="L1" authorId="0" shapeId="0">
      <text>
        <t>إشارة للتعديل (أ/ب/ج/د/هـ) لو ينطبق. فارغ لو لا ينطبق.</t>
      </text>
    </comment>
    <comment ref="M1" authorId="0" shapeId="0">
      <text>
        <t>دور المهمة في السيناريو (foundation/operational/governance/...).</t>
      </text>
    </comment>
    <comment ref="N1" authorId="0" shapeId="0">
      <text>
        <t>حالة التنفيذ. تُلوَّن تلقائيًا عبر Inputs.status_legend (التنسيق الشرطي).</t>
      </text>
    </comment>
    <comment ref="O1" authorId="0" shapeId="0">
      <text>
        <t>تسمية الفترة بالعربية (مثل: "Jul–Dec 2024").</t>
      </text>
    </comment>
    <comment ref="P1" authorId="0" shapeId="0">
      <text>
        <t>ملاحظات حرّة بالعربية.</t>
      </text>
    </comment>
  </commentList>
</comments>
</file>

<file path=xl/comments/comment3.xml><?xml version="1.0" encoding="utf-8"?>
<comments xmlns="http://schemas.openxmlformats.org/spreadsheetml/2006/main">
  <authors>
    <author>M2.2</author>
  </authors>
  <commentList>
    <comment ref="A1" authorId="0" shapeId="0">
      <text>
        <t>المهمة السابقة (المتطلَّب). أضِف صفًا جديدًا لإضافة تبعية.</t>
      </text>
    </comment>
    <comment ref="B1" authorId="0" shapeId="0">
      <text>
        <t>المهمة التالية (تَنتظر). أضف صفًا جديدًا لإضافة تبعية.</t>
      </text>
    </comment>
    <comment ref="C1" authorId="0" shapeId="0">
      <text>
        <t>تأخير بالأيام بين انتهاء parent و بدء child. الافتراضي 0.</t>
      </text>
    </comment>
    <comment ref="D1" authorId="0" shapeId="0">
      <text>
        <t>صيغة XLOOKUP من Tasks: =XLOOKUP(parent_id, Tasks.id, Tasks.name_ar).</t>
      </text>
    </comment>
    <comment ref="E1" authorId="0" shapeId="0">
      <text>
        <t>صيغة XLOOKUP من Tasks: =XLOOKUP(child_id, Tasks.id, Tasks.name_ar).</t>
      </text>
    </comment>
    <comment ref="F1" authorId="0" shapeId="0">
      <text>
        <t>EF (Earliest Finish) للـ parent — يُسحب من Critical-Path. حلقة دورية مَحلولة بـ iterative calc.</t>
      </text>
    </comment>
    <comment ref="G1" authorId="0" shapeId="0">
      <text>
        <t>LS (Latest Start) للـ child task — يُسحب من Critical-Path. حلقة دورية مَحلولة بـ iterative calc.</t>
      </text>
    </comment>
  </commentList>
</comments>
</file>

<file path=xl/comments/comment4.xml><?xml version="1.0" encoding="utf-8"?>
<comments xmlns="http://schemas.openxmlformats.org/spreadsheetml/2006/main">
  <authors>
    <author>M2.2</author>
  </authors>
  <commentList>
    <comment ref="A1" authorId="0" shapeId="0">
      <text>
        <t>يُسحب من Tasks (XLOOKUP المعكوس عبر INDEX). المعرّف يُعرض كـ reference.</t>
      </text>
    </comment>
    <comment ref="B1" authorId="0" shapeId="0">
      <text>
        <t>XLOOKUP من Tasks.name_ar.</t>
      </text>
    </comment>
    <comment ref="C1" authorId="0" shapeId="0">
      <text>
        <t>XLOOKUP من Tasks.duration_days.</t>
      </text>
    </comment>
    <comment ref="D1" authorId="0" shapeId="0">
      <text>
        <t>Earliest Start = MAX(EF of all predecessors), via MAXIFS على Dependencies.parent_EF عند child_id = هذه المهمة. لو لا توجد تبعيات → 0. تتطلب iterative calc enabled.</t>
      </text>
    </comment>
    <comment ref="E1" authorId="0" shapeId="0">
      <text>
        <t>Earliest Finish = ES + duration.</t>
      </text>
    </comment>
    <comment ref="F1" authorId="0" shapeId="0">
      <text>
        <t>Latest Start = LF − duration.</t>
      </text>
    </comment>
    <comment ref="G1" authorId="0" shapeId="0">
      <text>
        <t>Latest Finish = MIN(LS of all successors). لو لا يوجد successor → project_finish (MAX of EF).</t>
      </text>
    </comment>
    <comment ref="H1" authorId="0" shapeId="0">
      <text>
        <t>= LS − ES. الصفر يعني المهمة على المسار الحرج.</t>
      </text>
    </comment>
    <comment ref="I1" authorId="0" shapeId="0">
      <text>
        <t>= IF(slack=0, "YES", "NO"). يُلوَّن بالأحمر تلقائيًا (تنسيق شرطي).</t>
      </text>
    </comment>
    <comment ref="L2" authorId="0" shapeId="0">
      <text>
        <t>أقصى EF عبر كل المهام = موعد الانتهاء المتوقع للمشروع (بالأيام من project_start). يُستخدم في LF لكل مهمة بدون successors.</t>
      </text>
    </comment>
  </commentList>
</comments>
</file>

<file path=xl/comments/comment5.xml><?xml version="1.0" encoding="utf-8"?>
<comments xmlns="http://schemas.openxmlformats.org/spreadsheetml/2006/main">
  <authors>
    <author>M2.2</author>
  </authors>
  <commentList>
    <comment ref="A1" authorId="0" shapeId="0">
      <text>
        <t>XLOOKUP من Tasks.</t>
      </text>
    </comment>
    <comment ref="B1" authorId="0" shapeId="0">
      <text>
        <t>XLOOKUP من Tasks.</t>
      </text>
    </comment>
    <comment ref="C1" authorId="0" shapeId="0">
      <text>
        <t>XLOOKUP من Tasks.</t>
      </text>
    </comment>
    <comment ref="D1" authorId="0" shapeId="0">
      <text>
        <t>XLOOKUP من Tasks. لون شريط Gantt يَتبع هذا الحقل.</t>
      </text>
    </comment>
    <comment ref="E1" authorId="0" shapeId="0">
      <text>
        <t>XLOOKUP من Tasks (helper للمعادلات الشرطية).</t>
      </text>
    </comment>
    <comment ref="F1" authorId="0" shapeId="0">
      <text>
        <t>XLOOKUP من Tasks (helper للمعادلات الشرطية).</t>
      </text>
    </comment>
    <comment ref="G1" authorId="0" shapeId="0">
      <text>
        <t>أشهر المشروع (يُستخدم بداية الشهر كقيمة date). الخلايا تَتلوّن تلقائيًا عبر القواعد الشرطية إذا تَداخل الشهر مع نطاق المهمة [start_date, end_date]، باللون المناسب لـ status.</t>
      </text>
    </comment>
  </commentList>
</comments>
</file>

<file path=xl/comments/comment6.xml><?xml version="1.0" encoding="utf-8"?>
<comments xmlns="http://schemas.openxmlformats.org/spreadsheetml/2006/main">
  <authors>
    <author>M2.2</author>
  </authors>
  <commentList>
    <comment ref="A1" authorId="0" shapeId="0">
      <text>
        <t>XLOOKUP من Tasks.</t>
      </text>
    </comment>
    <comment ref="B1" authorId="0" shapeId="0">
      <text>
        <t>XLOOKUP من Tasks.</t>
      </text>
    </comment>
    <comment ref="C1" authorId="0" shapeId="0">
      <text>
        <t>XLOOKUP من Tasks.start_date.</t>
      </text>
    </comment>
    <comment ref="D1" authorId="0" shapeId="0">
      <text>
        <t>XLOOKUP من Tasks.duration_days.</t>
      </text>
    </comment>
    <comment ref="E1" authorId="0" shapeId="0">
      <text>
        <t>XLOOKUP من Tasks.end_date.</t>
      </text>
    </comment>
    <comment ref="F1" authorId="0" shapeId="0">
      <text>
        <t>⚙ INPUT: عَدِّل هذا العمود لتجريب سيناريوهات تأخير. الافتراضي 0. الـ adjusted_start/end يَتحدَّثان فورًا.</t>
      </text>
    </comment>
    <comment ref="G1" authorId="0" shapeId="0">
      <text>
        <t>= baseline_start + slip_days.</t>
      </text>
    </comment>
    <comment ref="H1" authorId="0" shapeId="0">
      <text>
        <t>= baseline_end + slip_days.</t>
      </text>
    </comment>
    <comment ref="I1" authorId="0" shapeId="0">
      <text>
        <t>XLOOKUP من Critical-Path.is_critical. الصفوف الحرجة مُلوَّنة بأحمر فاتح.</t>
      </text>
    </comment>
    <comment ref="J1" authorId="0" shapeId="0">
      <text>
        <t>XLOOKUP من Tasks.status (لتوضيح أي مهمة قابلة للانزلاق فعلًا).</t>
      </text>
    </comment>
    <comment ref="C37" authorId="0" shapeId="0">
      <text>
        <t>يُسحَب من Inputs.deadline. غيِّر التاريخ هناك.</t>
      </text>
    </comment>
    <comment ref="C39" authorId="0" shapeId="0">
      <text>
        <t>موجب = ضمن الموعد. سالب = تجاوُز للموعد النهائي. يَتحدَّث فورًا عند تعديل أي slip_days.</t>
      </text>
    </comment>
  </commentList>
</comments>
</file>

<file path=xl/comments/comment7.xml><?xml version="1.0" encoding="utf-8"?>
<comments xmlns="http://schemas.openxmlformats.org/spreadsheetml/2006/main">
  <authors>
    <author>M2.2</author>
  </authors>
  <commentList>
    <comment ref="A1" authorId="0" shapeId="0">
      <text>
        <t>معرّف المخرَج DGA (DEL-XXX-NNN). من knowledge/deliverables-index.json.</t>
      </text>
    </comment>
    <comment ref="B1" authorId="0" shapeId="0">
      <text>
        <t>الكود الموجز (DOC-15, RPT-04, ...).</t>
      </text>
    </comment>
    <comment ref="C1" authorId="0" shapeId="0">
      <text>
        <t>الاسم العربي للمخرَج.</t>
      </text>
    </comment>
    <comment ref="D1" authorId="0" shapeId="0">
      <text>
        <t>الفئة (DOC/RPT/DEC/MIN/EVI/PRE/OTH).</t>
      </text>
    </comment>
    <comment ref="E1" authorId="0" shapeId="0">
      <text>
        <t>مرحلة DGA المرتبطة (A/B/C/D/E/F).</t>
      </text>
    </comment>
    <comment ref="F1" authorId="0" shapeId="0">
      <text>
        <t>= COUNTIF(Files-Mapping.deliverable_id, this) — عدد ملفات ETEC المرتبطة بهذا المخرَج (من intake).</t>
      </text>
    </comment>
    <comment ref="G1" authorId="0" shapeId="0">
      <text>
        <t>= COUNTIF wildcard على Tasks.deliverable_ids — عدد مهام timeline التي تُغطّيه.</t>
      </text>
    </comment>
    <comment ref="H1" authorId="0" shapeId="0">
      <text>
        <t>صيغة IF: covered / pending-generation / partial / orphan-files / not-applicable.</t>
      </text>
    </comment>
  </commentList>
</comments>
</file>

<file path=xl/comments/comment8.xml><?xml version="1.0" encoding="utf-8"?>
<comments xmlns="http://schemas.openxmlformats.org/spreadsheetml/2006/main">
  <authors>
    <author>M2.2</author>
  </authors>
  <commentList>
    <comment ref="A1" authorId="0" shapeId="0">
      <text>
        <t>بداية الشهر (date). تَتلوّن خلايا المراحل تلقائيًا عبر color scale.</t>
      </text>
    </comment>
    <comment ref="B1" authorId="0" shapeId="0">
      <text>
        <t>= COUNTIFS عبر Tasks: phase=foundation, start_date&lt;=EOMONTH(month,0), end_date&gt;=month, level&lt;&gt;parent.</t>
      </text>
    </comment>
    <comment ref="C1" authorId="0" shapeId="0">
      <text>
        <t>= COUNTIFS عبر Tasks: phase=cycle_1, start_date&lt;=EOMONTH(month,0), end_date&gt;=month, level&lt;&gt;parent.</t>
      </text>
    </comment>
    <comment ref="D1" authorId="0" shapeId="0">
      <text>
        <t>= COUNTIFS عبر Tasks: phase=cycle_2_trigger, start_date&lt;=EOMONTH(month,0), end_date&gt;=month, level&lt;&gt;parent.</t>
      </text>
    </comment>
    <comment ref="E1" authorId="0" shapeId="0">
      <text>
        <t>= COUNTIFS عبر Tasks: phase=cycle_2, start_date&lt;=EOMONTH(month,0), end_date&gt;=month, level&lt;&gt;parent.</t>
      </text>
    </comment>
    <comment ref="F1" authorId="0" shapeId="0">
      <text>
        <t>= COUNTIFS عبر Tasks: phase=submission, start_date&lt;=EOMONTH(month,0), end_date&gt;=month, level&lt;&gt;parent.</t>
      </text>
    </comment>
    <comment ref="G1" authorId="0" shapeId="0">
      <text>
        <t>= SUM(phase columns).</t>
      </text>
    </comment>
  </commentList>
</comments>
</file>

<file path=xl/comments/comment9.xml><?xml version="1.0" encoding="utf-8"?>
<comments xmlns="http://schemas.openxmlformats.org/spreadsheetml/2006/main">
  <authors>
    <author>M2.2</author>
  </authors>
  <commentList>
    <comment ref="A1" authorId="0" shapeId="0">
      <text>
        <t>معرّف الملف من intake (ETEC-FILE-NNN).</t>
      </text>
    </comment>
    <comment ref="B1" authorId="0" shapeId="0">
      <text>
        <t>المخرَج DGA الأساسي. تَستخدمه DGA-Coverage.etec_file_count عبر COUNTIF.</t>
      </text>
    </comment>
    <comment ref="C1" authorId="0" shapeId="0">
      <text>
        <t>الكود الموجز للمخرَج.</t>
      </text>
    </comment>
    <comment ref="D1" authorId="0" shapeId="0">
      <text>
        <t>مسار الملف داخل _inbox.</t>
      </text>
    </comment>
    <comment ref="E1" authorId="0" shapeId="0">
      <text>
        <t>العنوان العربي.</t>
      </text>
    </comment>
    <comment ref="F1" authorId="0" shapeId="0">
      <text>
        <t>دور الملف في السيناريو.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60" customWidth="1" min="3" max="3"/>
  </cols>
  <sheetData>
    <row r="1">
      <c r="A1" s="1" t="inlineStr">
        <is>
          <t>Project Metadata</t>
        </is>
      </c>
      <c r="D1" s="2" t="inlineStr">
        <is>
          <t>ℹ️ كل القيم في هذه الورقة هي INPUT. عَدِّل هنا فقط — كل الأوراق الأخرى ترجع لها.</t>
        </is>
      </c>
    </row>
    <row r="2">
      <c r="A2" s="3" t="inlineStr">
        <is>
          <t>agency</t>
        </is>
      </c>
      <c r="B2" s="4" t="inlineStr">
        <is>
          <t>etec</t>
        </is>
      </c>
    </row>
    <row r="3">
      <c r="A3" s="3" t="inlineStr">
        <is>
          <t>agency_name_ar</t>
        </is>
      </c>
      <c r="B3" s="4" t="inlineStr">
        <is>
          <t>هيئة تقويم التعليم والتدريب</t>
        </is>
      </c>
    </row>
    <row r="4">
      <c r="A4" s="3" t="inlineStr">
        <is>
          <t>project_name</t>
        </is>
      </c>
      <c r="B4" s="4" t="inlineStr">
        <is>
          <t>ETEC NORA Submission Package</t>
        </is>
      </c>
    </row>
    <row r="5">
      <c r="A5" s="3" t="inlineStr">
        <is>
          <t>deadline</t>
        </is>
      </c>
      <c r="B5" s="5" t="n">
        <v>46234</v>
      </c>
    </row>
    <row r="6">
      <c r="A6" s="3" t="inlineStr">
        <is>
          <t>project_start</t>
        </is>
      </c>
      <c r="B6" s="5" t="n">
        <v>45474</v>
      </c>
    </row>
    <row r="7">
      <c r="A7" s="3" t="inlineStr">
        <is>
          <t>project_end</t>
        </is>
      </c>
      <c r="B7" s="5" t="n">
        <v>46234</v>
      </c>
    </row>
    <row r="8">
      <c r="A8" s="3" t="inlineStr">
        <is>
          <t>source_commit</t>
        </is>
      </c>
      <c r="B8" s="4" t="inlineStr">
        <is>
          <t>3a2082d</t>
        </is>
      </c>
    </row>
    <row r="9">
      <c r="A9" s="3" t="inlineStr">
        <is>
          <t>schema_version</t>
        </is>
      </c>
      <c r="B9" s="4" t="inlineStr">
        <is>
          <t>0.1</t>
        </is>
      </c>
    </row>
    <row r="10">
      <c r="A10" s="3" t="inlineStr">
        <is>
          <t>generated_date</t>
        </is>
      </c>
      <c r="B10" s="5" t="n">
        <v>46144</v>
      </c>
    </row>
    <row r="13">
      <c r="A13" s="1" t="inlineStr">
        <is>
          <t>Status Legend</t>
        </is>
      </c>
    </row>
    <row r="14">
      <c r="A14" s="6" t="inlineStr">
        <is>
          <t>status_id</t>
        </is>
      </c>
      <c r="B14" s="6" t="inlineStr">
        <is>
          <t>color_hex</t>
        </is>
      </c>
      <c r="C14" s="6" t="inlineStr">
        <is>
          <t>description_ar</t>
        </is>
      </c>
    </row>
    <row r="15">
      <c r="A15" s="7" t="inlineStr">
        <is>
          <t>completed</t>
        </is>
      </c>
      <c r="B15" s="8" t="inlineStr">
        <is>
          <t>C6EFCE</t>
        </is>
      </c>
      <c r="C15" s="9" t="inlineStr">
        <is>
          <t>مكتمل — تم تنفيذه وتسليمه فعليًا</t>
        </is>
      </c>
    </row>
    <row r="16">
      <c r="A16" s="7" t="inlineStr">
        <is>
          <t>completed-no-formal-doc</t>
        </is>
      </c>
      <c r="B16" s="10" t="inlineStr">
        <is>
          <t>FFEB9C</t>
        </is>
      </c>
      <c r="C16" s="9" t="inlineStr">
        <is>
          <t>مكتمل دون وثيقة رسمية — توليد رجعي مطلوب في M3+M4</t>
        </is>
      </c>
    </row>
    <row r="17">
      <c r="A17" s="7" t="inlineStr">
        <is>
          <t>PENDING-M3</t>
        </is>
      </c>
      <c r="B17" s="11" t="inlineStr">
        <is>
          <t>FFC7CE</t>
        </is>
      </c>
      <c r="C17" s="9" t="inlineStr">
        <is>
          <t>مُعلَّق للتوليد في M3 (schemas)</t>
        </is>
      </c>
    </row>
    <row r="18">
      <c r="A18" s="7" t="inlineStr">
        <is>
          <t>PENDING-M4</t>
        </is>
      </c>
      <c r="B18" s="12" t="inlineStr">
        <is>
          <t>FCD5CE</t>
        </is>
      </c>
      <c r="C18" s="9" t="inlineStr">
        <is>
          <t>مُعلَّق للتوليد في M4 (templates+content)</t>
        </is>
      </c>
    </row>
    <row r="19">
      <c r="A19" s="7" t="inlineStr">
        <is>
          <t>PLANNED-M5</t>
        </is>
      </c>
      <c r="B19" s="13" t="inlineStr">
        <is>
          <t>D9D9D9</t>
        </is>
      </c>
      <c r="C19" s="9" t="inlineStr">
        <is>
          <t>مُخطَّط لـ M5 (تجميع ملف التقديم)</t>
        </is>
      </c>
    </row>
    <row r="20">
      <c r="A20" s="7" t="inlineStr">
        <is>
          <t>PLANNED</t>
        </is>
      </c>
      <c r="B20" s="14" t="inlineStr">
        <is>
          <t>BFBFBF</t>
        </is>
      </c>
      <c r="C20" s="9" t="inlineStr">
        <is>
          <t>مُخطَّط (لم يَبدأ بعد)</t>
        </is>
      </c>
    </row>
    <row r="23">
      <c r="A23" s="1" t="inlineStr">
        <is>
          <t>Phase Legend</t>
        </is>
      </c>
    </row>
    <row r="24">
      <c r="A24" s="6" t="inlineStr">
        <is>
          <t>phase_id</t>
        </is>
      </c>
      <c r="B24" s="6" t="inlineStr">
        <is>
          <t>color_hex</t>
        </is>
      </c>
      <c r="C24" s="6" t="inlineStr">
        <is>
          <t>label_ar</t>
        </is>
      </c>
    </row>
    <row r="25">
      <c r="A25" s="7" t="inlineStr">
        <is>
          <t>foundation</t>
        </is>
      </c>
      <c r="B25" s="15" t="inlineStr">
        <is>
          <t>DDEBF7</t>
        </is>
      </c>
      <c r="C25" s="9" t="inlineStr">
        <is>
          <t>مرحلة التأسيس</t>
        </is>
      </c>
    </row>
    <row r="26">
      <c r="A26" s="7" t="inlineStr">
        <is>
          <t>cycle_1</t>
        </is>
      </c>
      <c r="B26" s="16" t="inlineStr">
        <is>
          <t>E2EFDA</t>
        </is>
      </c>
      <c r="C26" s="9" t="inlineStr">
        <is>
          <t>الدورة الأولى</t>
        </is>
      </c>
    </row>
    <row r="27">
      <c r="A27" s="7" t="inlineStr">
        <is>
          <t>cycle_2_trigger</t>
        </is>
      </c>
      <c r="B27" s="17" t="inlineStr">
        <is>
          <t>FFF2CC</t>
        </is>
      </c>
      <c r="C27" s="9" t="inlineStr">
        <is>
          <t>أحداث إطلاق الدورة الثانية</t>
        </is>
      </c>
    </row>
    <row r="28">
      <c r="A28" s="7" t="inlineStr">
        <is>
          <t>cycle_2</t>
        </is>
      </c>
      <c r="B28" s="18" t="inlineStr">
        <is>
          <t>FCE4D6</t>
        </is>
      </c>
      <c r="C28" s="9" t="inlineStr">
        <is>
          <t>الدورة الثانية</t>
        </is>
      </c>
    </row>
    <row r="29">
      <c r="A29" s="7" t="inlineStr">
        <is>
          <t>submission</t>
        </is>
      </c>
      <c r="B29" s="19" t="inlineStr">
        <is>
          <t>F4B084</t>
        </is>
      </c>
      <c r="C29" s="9" t="inlineStr">
        <is>
          <t>ملف التقديم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5" customWidth="1" min="2" max="2"/>
    <col width="17" customWidth="1" min="3" max="3"/>
    <col width="10" customWidth="1" min="4" max="4"/>
    <col width="11" customWidth="1" min="5" max="5"/>
    <col width="12" customWidth="1" min="6" max="6"/>
    <col width="15" customWidth="1" min="7" max="7"/>
    <col width="10" customWidth="1" min="8" max="8"/>
    <col width="11" customWidth="1" min="9" max="9"/>
    <col width="45" customWidth="1" min="10" max="10"/>
    <col width="16" customWidth="1" min="11" max="11"/>
    <col width="16" customWidth="1" min="12" max="12"/>
    <col width="26" customWidth="1" min="13" max="13"/>
    <col width="25" customWidth="1" min="14" max="14"/>
    <col width="17" customWidth="1" min="15" max="15"/>
    <col width="60" customWidth="1" min="16" max="16"/>
  </cols>
  <sheetData>
    <row r="1">
      <c r="A1" s="6" t="inlineStr">
        <is>
          <t>id</t>
        </is>
      </c>
      <c r="B1" s="6" t="inlineStr">
        <is>
          <t>name_ar</t>
        </is>
      </c>
      <c r="C1" s="6" t="inlineStr">
        <is>
          <t>phase</t>
        </is>
      </c>
      <c r="D1" s="6" t="inlineStr">
        <is>
          <t>level</t>
        </is>
      </c>
      <c r="E1" s="6" t="inlineStr">
        <is>
          <t>parent_id</t>
        </is>
      </c>
      <c r="F1" s="6" t="inlineStr">
        <is>
          <t>start_date</t>
        </is>
      </c>
      <c r="G1" s="6" t="inlineStr">
        <is>
          <t>duration_days</t>
        </is>
      </c>
      <c r="H1" s="20" t="inlineStr">
        <is>
          <t>end_date</t>
        </is>
      </c>
      <c r="I1" s="6" t="inlineStr">
        <is>
          <t>dga_phase</t>
        </is>
      </c>
      <c r="J1" s="6" t="inlineStr">
        <is>
          <t>deliverable_ids</t>
        </is>
      </c>
      <c r="K1" s="6" t="inlineStr">
        <is>
          <t>evidence_count</t>
        </is>
      </c>
      <c r="L1" s="6" t="inlineStr">
        <is>
          <t>adjustment_ref</t>
        </is>
      </c>
      <c r="M1" s="6" t="inlineStr">
        <is>
          <t>role_in_scenario</t>
        </is>
      </c>
      <c r="N1" s="6" t="inlineStr">
        <is>
          <t>status</t>
        </is>
      </c>
      <c r="O1" s="6" t="inlineStr">
        <is>
          <t>period_label_ar</t>
        </is>
      </c>
      <c r="P1" s="6" t="inlineStr">
        <is>
          <t>notes_ar</t>
        </is>
      </c>
    </row>
    <row r="2">
      <c r="A2" s="7" t="inlineStr">
        <is>
          <t>T-F01</t>
        </is>
      </c>
      <c r="B2" s="9" t="inlineStr">
        <is>
          <t>تأسيس الوحدة التنظيمية للبنية المؤسسية</t>
        </is>
      </c>
      <c r="C2" s="7" t="inlineStr">
        <is>
          <t>foundation</t>
        </is>
      </c>
      <c r="D2" s="7" t="inlineStr">
        <is>
          <t>parent</t>
        </is>
      </c>
      <c r="E2" s="7" t="inlineStr"/>
      <c r="F2" s="21" t="n">
        <v>45474</v>
      </c>
      <c r="G2" s="7" t="n">
        <v>184</v>
      </c>
      <c r="H2" s="21">
        <f>F2+G2</f>
        <v/>
      </c>
      <c r="I2" s="7" t="inlineStr">
        <is>
          <t>A</t>
        </is>
      </c>
      <c r="J2" s="7" t="inlineStr">
        <is>
          <t>DEL-DEC-001, DEL-DEC-002, DEL-DOC-001, DEL-DOC-003, DEL-DOC-004, DEL-DOC-005, DEL-DOC-006, DEL-DOC-007, DEL-DOC-008, DEL-DOC-009, DEL-DOC-011, DEL-DOC-012, DEL-DOC-013, DEL-DOC-014, DEL-DOC-018</t>
        </is>
      </c>
      <c r="K2" s="7" t="n">
        <v>0</v>
      </c>
      <c r="L2" s="7" t="inlineStr">
        <is>
          <t>أ</t>
        </is>
      </c>
      <c r="M2" s="7" t="inlineStr">
        <is>
          <t>foundation</t>
        </is>
      </c>
      <c r="N2" s="7" t="inlineStr">
        <is>
          <t>completed</t>
        </is>
      </c>
      <c r="O2" s="9" t="inlineStr"/>
      <c r="P2" s="9" t="inlineStr">
        <is>
          <t>Parent task؛ يجمع المهام الفرعية T-F01.1 إلى T-F01.7. Evidence مفصَّلة على مستوى المهام الفرعية.</t>
        </is>
      </c>
    </row>
    <row r="3">
      <c r="A3" s="7" t="inlineStr">
        <is>
          <t>T-F01.1</t>
        </is>
      </c>
      <c r="B3" s="9" t="inlineStr">
        <is>
          <t>تشكيل فريق البنية المؤسسية</t>
        </is>
      </c>
      <c r="C3" s="7" t="inlineStr">
        <is>
          <t>foundation</t>
        </is>
      </c>
      <c r="D3" s="7" t="inlineStr">
        <is>
          <t>sub</t>
        </is>
      </c>
      <c r="E3" s="7" t="inlineStr">
        <is>
          <t>T-F01</t>
        </is>
      </c>
      <c r="F3" s="21" t="n">
        <v>45505</v>
      </c>
      <c r="G3" s="7" t="n">
        <v>60</v>
      </c>
      <c r="H3" s="21">
        <f>F3+G3</f>
        <v/>
      </c>
      <c r="I3" s="7" t="inlineStr">
        <is>
          <t>A</t>
        </is>
      </c>
      <c r="J3" s="7" t="inlineStr">
        <is>
          <t>DEL-DEC-001</t>
        </is>
      </c>
      <c r="K3" s="7" t="n">
        <v>1</v>
      </c>
      <c r="L3" s="7" t="inlineStr">
        <is>
          <t>أ</t>
        </is>
      </c>
      <c r="M3" s="7" t="inlineStr">
        <is>
          <t>governance</t>
        </is>
      </c>
      <c r="N3" s="7" t="inlineStr">
        <is>
          <t>completed</t>
        </is>
      </c>
      <c r="O3" s="9" t="inlineStr"/>
      <c r="P3" s="9" t="inlineStr"/>
    </row>
    <row r="4">
      <c r="A4" s="7" t="inlineStr">
        <is>
          <t>T-F01.2</t>
        </is>
      </c>
      <c r="B4" s="9" t="inlineStr">
        <is>
          <t>تعيين مدير قسم البنية المؤسسية (كبير المهندسين)</t>
        </is>
      </c>
      <c r="C4" s="7" t="inlineStr">
        <is>
          <t>foundation</t>
        </is>
      </c>
      <c r="D4" s="7" t="inlineStr">
        <is>
          <t>sub</t>
        </is>
      </c>
      <c r="E4" s="7" t="inlineStr">
        <is>
          <t>T-F01</t>
        </is>
      </c>
      <c r="F4" s="21" t="n">
        <v>45536</v>
      </c>
      <c r="G4" s="7" t="n">
        <v>60</v>
      </c>
      <c r="H4" s="21">
        <f>F4+G4</f>
        <v/>
      </c>
      <c r="I4" s="7" t="inlineStr">
        <is>
          <t>A</t>
        </is>
      </c>
      <c r="J4" s="7" t="inlineStr">
        <is>
          <t>DEL-DEC-002</t>
        </is>
      </c>
      <c r="K4" s="7" t="n">
        <v>1</v>
      </c>
      <c r="L4" s="7" t="inlineStr">
        <is>
          <t>أ</t>
        </is>
      </c>
      <c r="M4" s="7" t="inlineStr">
        <is>
          <t>governance</t>
        </is>
      </c>
      <c r="N4" s="7" t="inlineStr">
        <is>
          <t>completed</t>
        </is>
      </c>
      <c r="O4" s="9" t="inlineStr"/>
      <c r="P4" s="9" t="inlineStr"/>
    </row>
    <row r="5">
      <c r="A5" s="7" t="inlineStr">
        <is>
          <t>T-F01.3</t>
        </is>
      </c>
      <c r="B5" s="9" t="inlineStr">
        <is>
          <t>اعتماد الاستراتيجيات المرجعية للهيئة (الأعمال + الأمن السيبراني)</t>
        </is>
      </c>
      <c r="C5" s="7" t="inlineStr">
        <is>
          <t>foundation</t>
        </is>
      </c>
      <c r="D5" s="7" t="inlineStr">
        <is>
          <t>sub</t>
        </is>
      </c>
      <c r="E5" s="7" t="inlineStr">
        <is>
          <t>T-F01</t>
        </is>
      </c>
      <c r="F5" s="21" t="n">
        <v>45474</v>
      </c>
      <c r="G5" s="7" t="n">
        <v>92</v>
      </c>
      <c r="H5" s="21">
        <f>F5+G5</f>
        <v/>
      </c>
      <c r="I5" s="7" t="inlineStr">
        <is>
          <t>A</t>
        </is>
      </c>
      <c r="J5" s="7" t="inlineStr">
        <is>
          <t>DEL-DOC-001, DEL-DOC-003</t>
        </is>
      </c>
      <c r="K5" s="7" t="n">
        <v>3</v>
      </c>
      <c r="L5" s="7" t="inlineStr">
        <is>
          <t>أ</t>
        </is>
      </c>
      <c r="M5" s="7" t="inlineStr">
        <is>
          <t>foundation</t>
        </is>
      </c>
      <c r="N5" s="7" t="inlineStr">
        <is>
          <t>completed</t>
        </is>
      </c>
      <c r="O5" s="9" t="inlineStr"/>
      <c r="P5" s="9" t="inlineStr">
        <is>
          <t>DOC-02 (الاستراتيجية الرقمية للبيانات 2026-2028) تخرج من هذه المهمة وتُؤطَّر في T-CT-01 (Nov 2025) لأنها cycle_2 trigger.</t>
        </is>
      </c>
    </row>
    <row r="6">
      <c r="A6" s="7" t="inlineStr">
        <is>
          <t>T-F01.4</t>
        </is>
      </c>
      <c r="B6" s="9" t="inlineStr">
        <is>
          <t>إعداد استراتيجية البنية المؤسسية (v1)</t>
        </is>
      </c>
      <c r="C6" s="7" t="inlineStr">
        <is>
          <t>foundation</t>
        </is>
      </c>
      <c r="D6" s="7" t="inlineStr">
        <is>
          <t>sub</t>
        </is>
      </c>
      <c r="E6" s="7" t="inlineStr">
        <is>
          <t>T-F01</t>
        </is>
      </c>
      <c r="F6" s="21" t="n">
        <v>45536</v>
      </c>
      <c r="G6" s="7" t="n">
        <v>122</v>
      </c>
      <c r="H6" s="21">
        <f>F6+G6</f>
        <v/>
      </c>
      <c r="I6" s="7" t="inlineStr">
        <is>
          <t>A</t>
        </is>
      </c>
      <c r="J6" s="7" t="inlineStr">
        <is>
          <t>DEL-DOC-004</t>
        </is>
      </c>
      <c r="K6" s="7" t="n">
        <v>1</v>
      </c>
      <c r="L6" s="7" t="inlineStr">
        <is>
          <t>أ</t>
        </is>
      </c>
      <c r="M6" s="7" t="inlineStr">
        <is>
          <t>foundation</t>
        </is>
      </c>
      <c r="N6" s="7" t="inlineStr">
        <is>
          <t>completed</t>
        </is>
      </c>
      <c r="O6" s="9" t="inlineStr"/>
      <c r="P6" s="9" t="inlineStr">
        <is>
          <t>النسخة v1 — النسخة v2 المعدَّلة بناءً على Digital Strategy 2026-2028 ستُنتَج في T-CT-05 (Jan 2026).</t>
        </is>
      </c>
    </row>
    <row r="7">
      <c r="A7" s="7" t="inlineStr">
        <is>
          <t>T-F01.5</t>
        </is>
      </c>
      <c r="B7" s="9" t="inlineStr">
        <is>
          <t>اعتماد الهيكل التنظيمي للوحدة (للهيئة + للتحول الرقمي)</t>
        </is>
      </c>
      <c r="C7" s="7" t="inlineStr">
        <is>
          <t>foundation</t>
        </is>
      </c>
      <c r="D7" s="7" t="inlineStr">
        <is>
          <t>sub</t>
        </is>
      </c>
      <c r="E7" s="7" t="inlineStr">
        <is>
          <t>T-F01</t>
        </is>
      </c>
      <c r="F7" s="21" t="n">
        <v>45536</v>
      </c>
      <c r="G7" s="7" t="n">
        <v>122</v>
      </c>
      <c r="H7" s="21">
        <f>F7+G7</f>
        <v/>
      </c>
      <c r="I7" s="7" t="inlineStr">
        <is>
          <t>A</t>
        </is>
      </c>
      <c r="J7" s="7" t="inlineStr">
        <is>
          <t>DEL-DOC-005</t>
        </is>
      </c>
      <c r="K7" s="7" t="n">
        <v>2</v>
      </c>
      <c r="L7" s="7" t="inlineStr">
        <is>
          <t>أ</t>
        </is>
      </c>
      <c r="M7" s="7" t="inlineStr">
        <is>
          <t>foundation</t>
        </is>
      </c>
      <c r="N7" s="7" t="inlineStr">
        <is>
          <t>completed</t>
        </is>
      </c>
      <c r="O7" s="9" t="inlineStr"/>
      <c r="P7" s="9" t="inlineStr"/>
    </row>
    <row r="8">
      <c r="A8" s="7" t="inlineStr">
        <is>
          <t>T-F01.6</t>
        </is>
      </c>
      <c r="B8" s="9" t="inlineStr">
        <is>
          <t>إعداد الوثائق التأطيرية (سياسة + مبادئ + مناظير + نماذج مرجعية)</t>
        </is>
      </c>
      <c r="C8" s="7" t="inlineStr">
        <is>
          <t>foundation</t>
        </is>
      </c>
      <c r="D8" s="7" t="inlineStr">
        <is>
          <t>sub</t>
        </is>
      </c>
      <c r="E8" s="7" t="inlineStr">
        <is>
          <t>T-F01</t>
        </is>
      </c>
      <c r="F8" s="21" t="n">
        <v>45566</v>
      </c>
      <c r="G8" s="7" t="n">
        <v>92</v>
      </c>
      <c r="H8" s="21">
        <f>F8+G8</f>
        <v/>
      </c>
      <c r="I8" s="7" t="inlineStr">
        <is>
          <t>A</t>
        </is>
      </c>
      <c r="J8" s="7" t="inlineStr">
        <is>
          <t>DEL-DOC-006, DEL-DOC-012, DEL-DOC-014, DEL-DOC-018, DEL-DOC-013</t>
        </is>
      </c>
      <c r="K8" s="7" t="n">
        <v>6</v>
      </c>
      <c r="L8" s="7" t="inlineStr">
        <is>
          <t>أ</t>
        </is>
      </c>
      <c r="M8" s="7" t="inlineStr">
        <is>
          <t>foundation</t>
        </is>
      </c>
      <c r="N8" s="7" t="inlineStr">
        <is>
          <t>completed</t>
        </is>
      </c>
      <c r="O8" s="9" t="inlineStr"/>
      <c r="P8" s="9" t="inlineStr">
        <is>
          <t>DOC-13 (النموذج العام لمكونات) ضُمَّ هنا لأنه وثيقة مرجعية لا تخص دورة محددة.</t>
        </is>
      </c>
    </row>
    <row r="9">
      <c r="A9" s="7" t="inlineStr">
        <is>
          <t>T-F01.7</t>
        </is>
      </c>
      <c r="B9" s="9" t="inlineStr">
        <is>
          <t>إعداد النموذج التشغيلي + الخطة التشغيلية + خطط التوعية والتدريب</t>
        </is>
      </c>
      <c r="C9" s="7" t="inlineStr">
        <is>
          <t>foundation</t>
        </is>
      </c>
      <c r="D9" s="7" t="inlineStr">
        <is>
          <t>sub</t>
        </is>
      </c>
      <c r="E9" s="7" t="inlineStr">
        <is>
          <t>T-F01</t>
        </is>
      </c>
      <c r="F9" s="21" t="n">
        <v>45597</v>
      </c>
      <c r="G9" s="7" t="n">
        <v>61</v>
      </c>
      <c r="H9" s="21">
        <f>F9+G9</f>
        <v/>
      </c>
      <c r="I9" s="7" t="inlineStr">
        <is>
          <t>A</t>
        </is>
      </c>
      <c r="J9" s="7" t="inlineStr">
        <is>
          <t>DEL-DOC-007, DEL-DOC-008, DEL-DOC-009, DEL-DOC-011</t>
        </is>
      </c>
      <c r="K9" s="7" t="n">
        <v>4</v>
      </c>
      <c r="L9" s="7" t="inlineStr">
        <is>
          <t>أ</t>
        </is>
      </c>
      <c r="M9" s="7" t="inlineStr">
        <is>
          <t>foundation</t>
        </is>
      </c>
      <c r="N9" s="7" t="inlineStr">
        <is>
          <t>completed</t>
        </is>
      </c>
      <c r="O9" s="9" t="inlineStr"/>
      <c r="P9" s="9" t="inlineStr">
        <is>
          <t>الخطة التشغيلية v2 (ETEC-FILE-011) تتطور في cycle 1 — التحديثات تظهر ضمنيًا في T-C1-* operational tasks.</t>
        </is>
      </c>
    </row>
    <row r="10">
      <c r="A10" s="7" t="inlineStr">
        <is>
          <t>T-C1-01</t>
        </is>
      </c>
      <c r="B10" s="9" t="inlineStr">
        <is>
          <t>تحليل الوضع الحالي (الأعمال + التطبيقات + البيانات)</t>
        </is>
      </c>
      <c r="C10" s="7" t="inlineStr">
        <is>
          <t>cycle_1</t>
        </is>
      </c>
      <c r="D10" s="7" t="inlineStr">
        <is>
          <t>task</t>
        </is>
      </c>
      <c r="E10" s="7" t="inlineStr"/>
      <c r="F10" s="21" t="n">
        <v>45658</v>
      </c>
      <c r="G10" s="7" t="n">
        <v>120</v>
      </c>
      <c r="H10" s="21">
        <f>F10+G10</f>
        <v/>
      </c>
      <c r="I10" s="7" t="inlineStr">
        <is>
          <t>C</t>
        </is>
      </c>
      <c r="J10" s="7" t="inlineStr">
        <is>
          <t>DEL-DOC-017</t>
        </is>
      </c>
      <c r="K10" s="7" t="n">
        <v>3</v>
      </c>
      <c r="L10" s="7" t="inlineStr">
        <is>
          <t>ب</t>
        </is>
      </c>
      <c r="M10" s="7" t="inlineStr">
        <is>
          <t>cycle-1-as-is</t>
        </is>
      </c>
      <c r="N10" s="7" t="inlineStr">
        <is>
          <t>completed-no-formal-doc</t>
        </is>
      </c>
      <c r="O10" s="9" t="inlineStr"/>
      <c r="P10" s="9" t="inlineStr">
        <is>
          <t>AS-IS تمت لـ 3 domains (Business + Apps + Data). Technology domain لا يوجد له وثيقة AS-IS منفصلة. ميثاق الدورة (DOC-16) ووثيقة الدورة (DOC-17 الموحدة) تُولَّدان رجعيًا في M3+M4.</t>
        </is>
      </c>
    </row>
    <row r="11">
      <c r="A11" s="7" t="inlineStr">
        <is>
          <t>T-C1-02</t>
        </is>
      </c>
      <c r="B11" s="9" t="inlineStr">
        <is>
          <t>تحديد الوضع المستقبلي (الأعمال + التطبيقات + البيانات + التكنولوجيا)</t>
        </is>
      </c>
      <c r="C11" s="7" t="inlineStr">
        <is>
          <t>cycle_1</t>
        </is>
      </c>
      <c r="D11" s="7" t="inlineStr">
        <is>
          <t>task</t>
        </is>
      </c>
      <c r="E11" s="7" t="inlineStr"/>
      <c r="F11" s="21" t="n">
        <v>45689</v>
      </c>
      <c r="G11" s="7" t="n">
        <v>89</v>
      </c>
      <c r="H11" s="21">
        <f>F11+G11</f>
        <v/>
      </c>
      <c r="I11" s="7" t="inlineStr">
        <is>
          <t>C</t>
        </is>
      </c>
      <c r="J11" s="7" t="inlineStr">
        <is>
          <t>DEL-DOC-017</t>
        </is>
      </c>
      <c r="K11" s="7" t="n">
        <v>4</v>
      </c>
      <c r="L11" s="7" t="inlineStr">
        <is>
          <t>ب</t>
        </is>
      </c>
      <c r="M11" s="7" t="inlineStr">
        <is>
          <t>cycle-1-to-be</t>
        </is>
      </c>
      <c r="N11" s="7" t="inlineStr">
        <is>
          <t>completed-no-formal-doc</t>
        </is>
      </c>
      <c r="O11" s="9" t="inlineStr"/>
      <c r="P11" s="9" t="inlineStr">
        <is>
          <t>TO-BE تمت لـ 4 domains (Business + Apps + Data + Tech). ETEC-FILE-022 اسمه إنجليزي (TargetState Technology3.pptx) لكن المحتوى يخدم Technology TO-BE — confidence=low في intake.</t>
        </is>
      </c>
    </row>
    <row r="12">
      <c r="A12" s="7" t="inlineStr">
        <is>
          <t>T-C1-03</t>
        </is>
      </c>
      <c r="B12" s="9" t="inlineStr">
        <is>
          <t>تحليل الفجوات</t>
        </is>
      </c>
      <c r="C12" s="7" t="inlineStr">
        <is>
          <t>cycle_1</t>
        </is>
      </c>
      <c r="D12" s="7" t="inlineStr">
        <is>
          <t>task</t>
        </is>
      </c>
      <c r="E12" s="7" t="inlineStr"/>
      <c r="F12" s="21" t="n">
        <v>45748</v>
      </c>
      <c r="G12" s="7" t="n">
        <v>30</v>
      </c>
      <c r="H12" s="21">
        <f>F12+G12</f>
        <v/>
      </c>
      <c r="I12" s="7" t="inlineStr">
        <is>
          <t>D</t>
        </is>
      </c>
      <c r="J12" s="7" t="inlineStr">
        <is>
          <t>DEL-DOC-017</t>
        </is>
      </c>
      <c r="K12" s="7" t="n">
        <v>1</v>
      </c>
      <c r="L12" s="7" t="inlineStr">
        <is>
          <t>ب</t>
        </is>
      </c>
      <c r="M12" s="7" t="inlineStr">
        <is>
          <t>cycle-1-gap</t>
        </is>
      </c>
      <c r="N12" s="7" t="inlineStr">
        <is>
          <t>completed-no-formal-doc</t>
        </is>
      </c>
      <c r="O12" s="9" t="inlineStr"/>
      <c r="P12" s="9" t="inlineStr">
        <is>
          <t>وثيقة فجوات موحدة عبر domains. ميثاق دورة 1 (DOC-16) سيؤطر هذه الفجوات رسميًا في M4.</t>
        </is>
      </c>
    </row>
    <row r="13">
      <c r="A13" s="7" t="inlineStr">
        <is>
          <t>T-C1-04</t>
        </is>
      </c>
      <c r="B13" s="9" t="inlineStr">
        <is>
          <t>تطوير خارطة طريق التحول الرقمي</t>
        </is>
      </c>
      <c r="C13" s="7" t="inlineStr">
        <is>
          <t>cycle_1</t>
        </is>
      </c>
      <c r="D13" s="7" t="inlineStr">
        <is>
          <t>task</t>
        </is>
      </c>
      <c r="E13" s="7" t="inlineStr"/>
      <c r="F13" s="21" t="n">
        <v>45778</v>
      </c>
      <c r="G13" s="7" t="n">
        <v>92</v>
      </c>
      <c r="H13" s="21">
        <f>F13+G13</f>
        <v/>
      </c>
      <c r="I13" s="7" t="inlineStr">
        <is>
          <t>E</t>
        </is>
      </c>
      <c r="J13" s="7" t="inlineStr">
        <is>
          <t>DEL-DOC-019</t>
        </is>
      </c>
      <c r="K13" s="7" t="n">
        <v>2</v>
      </c>
      <c r="L13" s="7" t="inlineStr"/>
      <c r="M13" s="7" t="inlineStr">
        <is>
          <t>operational</t>
        </is>
      </c>
      <c r="N13" s="7" t="inlineStr">
        <is>
          <t>completed</t>
        </is>
      </c>
      <c r="O13" s="9" t="inlineStr"/>
      <c r="P13" s="9" t="inlineStr">
        <is>
          <t>خارطة الطريق V1.0 — ستُحدَّث V1.1+ في cycle 2 بناءً على Digital Strategy 2026-2028.</t>
        </is>
      </c>
    </row>
    <row r="14">
      <c r="A14" s="7" t="inlineStr">
        <is>
          <t>T-C1-05</t>
        </is>
      </c>
      <c r="B14" s="9" t="inlineStr">
        <is>
          <t>إصدار وثيقة متطلبات البنية المؤسسية + سجل المتطلبات</t>
        </is>
      </c>
      <c r="C14" s="7" t="inlineStr">
        <is>
          <t>cycle_1</t>
        </is>
      </c>
      <c r="D14" s="7" t="inlineStr">
        <is>
          <t>task</t>
        </is>
      </c>
      <c r="E14" s="7" t="inlineStr"/>
      <c r="F14" s="21" t="n">
        <v>45748</v>
      </c>
      <c r="G14" s="7" t="n">
        <v>122</v>
      </c>
      <c r="H14" s="21">
        <f>F14+G14</f>
        <v/>
      </c>
      <c r="I14" s="7" t="inlineStr">
        <is>
          <t>B</t>
        </is>
      </c>
      <c r="J14" s="7" t="inlineStr">
        <is>
          <t>DEL-DOC-020</t>
        </is>
      </c>
      <c r="K14" s="7" t="n">
        <v>2</v>
      </c>
      <c r="L14" s="7" t="inlineStr"/>
      <c r="M14" s="7" t="inlineStr">
        <is>
          <t>operational</t>
        </is>
      </c>
      <c r="N14" s="7" t="inlineStr">
        <is>
          <t>completed</t>
        </is>
      </c>
      <c r="O14" s="9" t="inlineStr"/>
      <c r="P14" s="9" t="inlineStr"/>
    </row>
    <row r="15">
      <c r="A15" s="7" t="inlineStr">
        <is>
          <t>T-C1-06</t>
        </is>
      </c>
      <c r="B15" s="9" t="inlineStr">
        <is>
          <t>تنفيذ خطة التوعية (ورش + فيديوهات + نشرات + استبيانات)</t>
        </is>
      </c>
      <c r="C15" s="7" t="inlineStr">
        <is>
          <t>cycle_1</t>
        </is>
      </c>
      <c r="D15" s="7" t="inlineStr">
        <is>
          <t>task</t>
        </is>
      </c>
      <c r="E15" s="7" t="inlineStr"/>
      <c r="F15" s="21" t="n">
        <v>45717</v>
      </c>
      <c r="G15" s="7" t="n">
        <v>306</v>
      </c>
      <c r="H15" s="21">
        <f>F15+G15</f>
        <v/>
      </c>
      <c r="I15" s="7" t="inlineStr">
        <is>
          <t>F</t>
        </is>
      </c>
      <c r="J15" s="7" t="inlineStr">
        <is>
          <t>DEL-EVI-002</t>
        </is>
      </c>
      <c r="K15" s="7" t="n">
        <v>9</v>
      </c>
      <c r="L15" s="7" t="inlineStr"/>
      <c r="M15" s="7" t="inlineStr">
        <is>
          <t>awareness-implementation</t>
        </is>
      </c>
      <c r="N15" s="7" t="inlineStr">
        <is>
          <t>completed</t>
        </is>
      </c>
      <c r="O15" s="9" t="inlineStr"/>
      <c r="P15" s="9" t="inlineStr">
        <is>
          <t>تنفيذ خطة التوعية DOC-09. evidence_files تشمل 9 ملفات تمثيلية (ورش × 3 + فيديوهات × 2 + استبيانات × 3 + نشرة × 1). إجمالي evidence في الـ inbox = 20 ملف (بقية النشرات في EVI-02/النشرات-التوعوية/ETEC-2-* و ETEC-3-*).</t>
        </is>
      </c>
    </row>
    <row r="16">
      <c r="A16" s="7" t="inlineStr">
        <is>
          <t>T-C1-07</t>
        </is>
      </c>
      <c r="B16" s="9" t="inlineStr">
        <is>
          <t>تنفيذ خطة التدريب (شهادات TOGAF Foundation للأعضاء)</t>
        </is>
      </c>
      <c r="C16" s="7" t="inlineStr">
        <is>
          <t>cycle_1</t>
        </is>
      </c>
      <c r="D16" s="7" t="inlineStr">
        <is>
          <t>task</t>
        </is>
      </c>
      <c r="E16" s="7" t="inlineStr"/>
      <c r="F16" s="21" t="n">
        <v>45658</v>
      </c>
      <c r="G16" s="7" t="n">
        <v>273</v>
      </c>
      <c r="H16" s="21">
        <f>F16+G16</f>
        <v/>
      </c>
      <c r="I16" s="7" t="inlineStr">
        <is>
          <t>F</t>
        </is>
      </c>
      <c r="J16" s="7" t="inlineStr">
        <is>
          <t>DEL-EVI-001</t>
        </is>
      </c>
      <c r="K16" s="7" t="n">
        <v>5</v>
      </c>
      <c r="L16" s="7" t="inlineStr"/>
      <c r="M16" s="7" t="inlineStr">
        <is>
          <t>training-implementation</t>
        </is>
      </c>
      <c r="N16" s="7" t="inlineStr">
        <is>
          <t>completed</t>
        </is>
      </c>
      <c r="O16" s="9" t="inlineStr"/>
      <c r="P16" s="9" t="inlineStr">
        <is>
          <t>11 شهادة فردية للأعضاء + شهادة عامة + جدول ورشة الخبراء. evidence_files تشمل عينات تمثيلية — التفاصيل الكاملة في intake (12 ملف EVI-01).</t>
        </is>
      </c>
    </row>
    <row r="17">
      <c r="A17" s="7" t="inlineStr">
        <is>
          <t>T-C1-08</t>
        </is>
      </c>
      <c r="B17" s="9" t="inlineStr">
        <is>
          <t>إصدار التقارير الربعية لـ 2025 (Q1–Q4)</t>
        </is>
      </c>
      <c r="C17" s="7" t="inlineStr">
        <is>
          <t>cycle_1</t>
        </is>
      </c>
      <c r="D17" s="7" t="inlineStr">
        <is>
          <t>task</t>
        </is>
      </c>
      <c r="E17" s="7" t="inlineStr"/>
      <c r="F17" s="21" t="n">
        <v>45748</v>
      </c>
      <c r="G17" s="7" t="n">
        <v>305</v>
      </c>
      <c r="H17" s="21">
        <f>F17+G17</f>
        <v/>
      </c>
      <c r="I17" s="7" t="inlineStr">
        <is>
          <t>F</t>
        </is>
      </c>
      <c r="J17" s="7" t="inlineStr">
        <is>
          <t>DEL-RPT-002</t>
        </is>
      </c>
      <c r="K17" s="7" t="n">
        <v>4</v>
      </c>
      <c r="L17" s="7" t="inlineStr"/>
      <c r="M17" s="7" t="inlineStr">
        <is>
          <t>operational</t>
        </is>
      </c>
      <c r="N17" s="7" t="inlineStr">
        <is>
          <t>completed</t>
        </is>
      </c>
      <c r="O17" s="9" t="inlineStr"/>
      <c r="P17" s="9" t="inlineStr">
        <is>
          <t>4 تقارير ربعية متتابعة. periodic=quarterly.</t>
        </is>
      </c>
    </row>
    <row r="18">
      <c r="A18" s="7" t="inlineStr">
        <is>
          <t>T-C1-09</t>
        </is>
      </c>
      <c r="B18" s="9" t="inlineStr">
        <is>
          <t>تقرير إغلاق الدورة الأولى</t>
        </is>
      </c>
      <c r="C18" s="7" t="inlineStr">
        <is>
          <t>cycle_1</t>
        </is>
      </c>
      <c r="D18" s="7" t="inlineStr">
        <is>
          <t>task</t>
        </is>
      </c>
      <c r="E18" s="7" t="inlineStr"/>
      <c r="F18" s="21" t="n">
        <v>45870</v>
      </c>
      <c r="G18" s="7" t="n">
        <v>60</v>
      </c>
      <c r="H18" s="21">
        <f>F18+G18</f>
        <v/>
      </c>
      <c r="I18" s="7" t="inlineStr">
        <is>
          <t>F</t>
        </is>
      </c>
      <c r="J18" s="7" t="inlineStr">
        <is>
          <t>DEL-RPT-004</t>
        </is>
      </c>
      <c r="K18" s="7" t="n">
        <v>0</v>
      </c>
      <c r="L18" s="7" t="inlineStr">
        <is>
          <t>ج</t>
        </is>
      </c>
      <c r="M18" s="7" t="inlineStr">
        <is>
          <t>cycle-1-closure</t>
        </is>
      </c>
      <c r="N18" s="7" t="inlineStr">
        <is>
          <t>PENDING-M3</t>
        </is>
      </c>
      <c r="O18" s="9" t="inlineStr"/>
      <c r="P18" s="9" t="inlineStr">
        <is>
          <t>RPT-04 (تقرير انتهاء دورة) — يُولَّد في M3 بناءً على نتائج cycle 1 + شواهد التنفيذ. مطلوب قبل cycle 2 launch.</t>
        </is>
      </c>
    </row>
    <row r="19">
      <c r="A19" s="7" t="inlineStr">
        <is>
          <t>T-CT-01</t>
        </is>
      </c>
      <c r="B19" s="9" t="inlineStr">
        <is>
          <t>إصدار الخطة الاستراتيجية للبيانات والتحول الرقمي 2026-2028</t>
        </is>
      </c>
      <c r="C19" s="7" t="inlineStr">
        <is>
          <t>cycle_2_trigger</t>
        </is>
      </c>
      <c r="D19" s="7" t="inlineStr">
        <is>
          <t>task</t>
        </is>
      </c>
      <c r="E19" s="7" t="inlineStr"/>
      <c r="F19" s="21" t="n">
        <v>45962</v>
      </c>
      <c r="G19" s="7" t="n">
        <v>30</v>
      </c>
      <c r="H19" s="21">
        <f>F19+G19</f>
        <v/>
      </c>
      <c r="I19" s="7" t="inlineStr">
        <is>
          <t>external</t>
        </is>
      </c>
      <c r="J19" s="7" t="inlineStr">
        <is>
          <t>DEL-DOC-002</t>
        </is>
      </c>
      <c r="K19" s="7" t="n">
        <v>1</v>
      </c>
      <c r="L19" s="7" t="inlineStr">
        <is>
          <t>د</t>
        </is>
      </c>
      <c r="M19" s="7" t="inlineStr">
        <is>
          <t>cycle-2-trigger</t>
        </is>
      </c>
      <c r="N19" s="7" t="inlineStr">
        <is>
          <t>completed</t>
        </is>
      </c>
      <c r="O19" s="9" t="inlineStr"/>
      <c r="P19" s="9" t="inlineStr">
        <is>
          <t>حدث محوري — يُحرك سلسلة T-CT-02..T-CT-06 لإطلاق دورة 2.</t>
        </is>
      </c>
    </row>
    <row r="20">
      <c r="A20" s="7" t="inlineStr">
        <is>
          <t>T-CT-02</t>
        </is>
      </c>
      <c r="B20" s="9" t="inlineStr">
        <is>
          <t>محضر اعتماد الاستراتيجية الجديدة</t>
        </is>
      </c>
      <c r="C20" s="7" t="inlineStr">
        <is>
          <t>cycle_2_trigger</t>
        </is>
      </c>
      <c r="D20" s="7" t="inlineStr">
        <is>
          <t>task</t>
        </is>
      </c>
      <c r="E20" s="7" t="inlineStr"/>
      <c r="F20" s="21" t="n">
        <v>45976</v>
      </c>
      <c r="G20" s="7" t="n">
        <v>15</v>
      </c>
      <c r="H20" s="21">
        <f>F20+G20</f>
        <v/>
      </c>
      <c r="I20" s="7" t="inlineStr">
        <is>
          <t>A</t>
        </is>
      </c>
      <c r="J20" s="7" t="inlineStr">
        <is>
          <t>DEL-MIN-001</t>
        </is>
      </c>
      <c r="K20" s="7" t="n">
        <v>0</v>
      </c>
      <c r="L20" s="7" t="inlineStr">
        <is>
          <t>د</t>
        </is>
      </c>
      <c r="M20" s="7" t="inlineStr">
        <is>
          <t>cycle-2-trigger</t>
        </is>
      </c>
      <c r="N20" s="7" t="inlineStr">
        <is>
          <t>PENDING-M3</t>
        </is>
      </c>
      <c r="O20" s="9" t="inlineStr"/>
      <c r="P20" s="9" t="inlineStr">
        <is>
          <t>MIN-01 (محاضر اعتماد مخرجات ممارسة البنية المؤسسية) — يُولَّد في M3.</t>
        </is>
      </c>
    </row>
    <row r="21">
      <c r="A21" s="7" t="inlineStr">
        <is>
          <t>T-CT-03</t>
        </is>
      </c>
      <c r="B21" s="9" t="inlineStr">
        <is>
          <t>تقرير دراسة أثر التغيير على متطلبات البنية المؤسسية</t>
        </is>
      </c>
      <c r="C21" s="7" t="inlineStr">
        <is>
          <t>cycle_2_trigger</t>
        </is>
      </c>
      <c r="D21" s="7" t="inlineStr">
        <is>
          <t>task</t>
        </is>
      </c>
      <c r="E21" s="7" t="inlineStr"/>
      <c r="F21" s="21" t="n">
        <v>45992</v>
      </c>
      <c r="G21" s="7" t="n">
        <v>30</v>
      </c>
      <c r="H21" s="21">
        <f>F21+G21</f>
        <v/>
      </c>
      <c r="I21" s="7" t="inlineStr">
        <is>
          <t>B</t>
        </is>
      </c>
      <c r="J21" s="7" t="inlineStr">
        <is>
          <t>DEL-RPT-007</t>
        </is>
      </c>
      <c r="K21" s="7" t="n">
        <v>0</v>
      </c>
      <c r="L21" s="7" t="inlineStr"/>
      <c r="M21" s="7" t="inlineStr">
        <is>
          <t>cycle-2-trigger</t>
        </is>
      </c>
      <c r="N21" s="7" t="inlineStr">
        <is>
          <t>PENDING-M3</t>
        </is>
      </c>
      <c r="O21" s="9" t="inlineStr"/>
      <c r="P21" s="9" t="inlineStr">
        <is>
          <t>RPT-07 — يبرر إطلاق دورة 2 من زاوية المتطلبات.</t>
        </is>
      </c>
    </row>
    <row r="22">
      <c r="A22" s="7" t="inlineStr">
        <is>
          <t>T-CT-04</t>
        </is>
      </c>
      <c r="B22" s="9" t="inlineStr">
        <is>
          <t>تقرير دراسة أثر التغيير على مبادئ البنية المؤسسية</t>
        </is>
      </c>
      <c r="C22" s="7" t="inlineStr">
        <is>
          <t>cycle_2_trigger</t>
        </is>
      </c>
      <c r="D22" s="7" t="inlineStr">
        <is>
          <t>task</t>
        </is>
      </c>
      <c r="E22" s="7" t="inlineStr"/>
      <c r="F22" s="21" t="n">
        <v>45992</v>
      </c>
      <c r="G22" s="7" t="n">
        <v>30</v>
      </c>
      <c r="H22" s="21">
        <f>F22+G22</f>
        <v/>
      </c>
      <c r="I22" s="7" t="inlineStr">
        <is>
          <t>B</t>
        </is>
      </c>
      <c r="J22" s="7" t="inlineStr">
        <is>
          <t>DEL-RPT-008</t>
        </is>
      </c>
      <c r="K22" s="7" t="n">
        <v>0</v>
      </c>
      <c r="L22" s="7" t="inlineStr"/>
      <c r="M22" s="7" t="inlineStr">
        <is>
          <t>cycle-2-trigger</t>
        </is>
      </c>
      <c r="N22" s="7" t="inlineStr">
        <is>
          <t>PENDING-M3</t>
        </is>
      </c>
      <c r="O22" s="9" t="inlineStr"/>
      <c r="P22" s="9" t="inlineStr">
        <is>
          <t>RPT-08 — يبرر إطلاق دورة 2 من زاوية المبادئ.</t>
        </is>
      </c>
    </row>
    <row r="23">
      <c r="A23" s="7" t="inlineStr">
        <is>
          <t>T-CT-05</t>
        </is>
      </c>
      <c r="B23" s="9" t="inlineStr">
        <is>
          <t>تحديث استراتيجية البنية المؤسسية (v2)</t>
        </is>
      </c>
      <c r="C23" s="7" t="inlineStr">
        <is>
          <t>cycle_2_trigger</t>
        </is>
      </c>
      <c r="D23" s="7" t="inlineStr">
        <is>
          <t>task</t>
        </is>
      </c>
      <c r="E23" s="7" t="inlineStr"/>
      <c r="F23" s="21" t="n">
        <v>46023</v>
      </c>
      <c r="G23" s="7" t="n">
        <v>30</v>
      </c>
      <c r="H23" s="21">
        <f>F23+G23</f>
        <v/>
      </c>
      <c r="I23" s="7" t="inlineStr">
        <is>
          <t>A</t>
        </is>
      </c>
      <c r="J23" s="7" t="inlineStr">
        <is>
          <t>DEL-DOC-004</t>
        </is>
      </c>
      <c r="K23" s="7" t="n">
        <v>0</v>
      </c>
      <c r="L23" s="7" t="inlineStr">
        <is>
          <t>د</t>
        </is>
      </c>
      <c r="M23" s="7" t="inlineStr">
        <is>
          <t>cycle-2-trigger</t>
        </is>
      </c>
      <c r="N23" s="7" t="inlineStr">
        <is>
          <t>PENDING-M3</t>
        </is>
      </c>
      <c r="O23" s="9" t="inlineStr"/>
      <c r="P23" s="9" t="inlineStr">
        <is>
          <t>النسخة v2 من DOC-04 — مكمِّلة للنسخة v1 المُنتجة في T-F01.4. تعكس التزامات Digital Strategy 2026-2028.</t>
        </is>
      </c>
    </row>
    <row r="24">
      <c r="A24" s="7" t="inlineStr">
        <is>
          <t>T-CT-06</t>
        </is>
      </c>
      <c r="B24" s="9" t="inlineStr">
        <is>
          <t>قرار إطلاق الدورة الثانية</t>
        </is>
      </c>
      <c r="C24" s="7" t="inlineStr">
        <is>
          <t>cycle_2_trigger</t>
        </is>
      </c>
      <c r="D24" s="7" t="inlineStr">
        <is>
          <t>task</t>
        </is>
      </c>
      <c r="E24" s="7" t="inlineStr"/>
      <c r="F24" s="21" t="n">
        <v>46037</v>
      </c>
      <c r="G24" s="7" t="n">
        <v>31</v>
      </c>
      <c r="H24" s="21">
        <f>F24+G24</f>
        <v/>
      </c>
      <c r="I24" s="7" t="inlineStr">
        <is>
          <t>A</t>
        </is>
      </c>
      <c r="J24" s="7" t="inlineStr">
        <is>
          <t>DEL-MIN-001</t>
        </is>
      </c>
      <c r="K24" s="7" t="n">
        <v>0</v>
      </c>
      <c r="L24" s="7" t="inlineStr">
        <is>
          <t>د</t>
        </is>
      </c>
      <c r="M24" s="7" t="inlineStr">
        <is>
          <t>cycle-2-trigger</t>
        </is>
      </c>
      <c r="N24" s="7" t="inlineStr">
        <is>
          <t>PENDING-M3</t>
        </is>
      </c>
      <c r="O24" s="9" t="inlineStr"/>
      <c r="P24" s="9" t="inlineStr">
        <is>
          <t>محضر إطلاق دورة 2 — قرار رسمي من لجنة الحوكمة.</t>
        </is>
      </c>
    </row>
    <row r="25">
      <c r="A25" s="7" t="inlineStr">
        <is>
          <t>T-CT-07</t>
        </is>
      </c>
      <c r="B25" s="9" t="inlineStr">
        <is>
          <t>اجتماعات قسم البنية المؤسسية الأسبوعية (Nov 2025 – Jan 2026)</t>
        </is>
      </c>
      <c r="C25" s="7" t="inlineStr">
        <is>
          <t>cycle_2_trigger</t>
        </is>
      </c>
      <c r="D25" s="7" t="inlineStr">
        <is>
          <t>task</t>
        </is>
      </c>
      <c r="E25" s="7" t="inlineStr"/>
      <c r="F25" s="21" t="n">
        <v>45977</v>
      </c>
      <c r="G25" s="7" t="n">
        <v>71</v>
      </c>
      <c r="H25" s="21">
        <f>F25+G25</f>
        <v/>
      </c>
      <c r="I25" s="7" t="inlineStr">
        <is>
          <t>A</t>
        </is>
      </c>
      <c r="J25" s="7" t="inlineStr">
        <is>
          <t>DEL-MIN-002</t>
        </is>
      </c>
      <c r="K25" s="7" t="n">
        <v>12</v>
      </c>
      <c r="L25" s="7" t="inlineStr"/>
      <c r="M25" s="7" t="inlineStr">
        <is>
          <t>operational</t>
        </is>
      </c>
      <c r="N25" s="7" t="inlineStr">
        <is>
          <t>completed</t>
        </is>
      </c>
      <c r="O25" s="9" t="inlineStr"/>
      <c r="P25" s="9" t="inlineStr">
        <is>
          <t>12 محضر — تنسيق أسبوعي حول تحضير cycle 2. periodic=weekly.</t>
        </is>
      </c>
    </row>
    <row r="26">
      <c r="A26" s="7" t="inlineStr">
        <is>
          <t>T-C2-01</t>
        </is>
      </c>
      <c r="B26" s="9" t="inlineStr">
        <is>
          <t>إصدار ميثاق الدورة الثانية</t>
        </is>
      </c>
      <c r="C26" s="7" t="inlineStr">
        <is>
          <t>cycle_2</t>
        </is>
      </c>
      <c r="D26" s="7" t="inlineStr">
        <is>
          <t>task</t>
        </is>
      </c>
      <c r="E26" s="7" t="inlineStr"/>
      <c r="F26" s="21" t="n">
        <v>46054</v>
      </c>
      <c r="G26" s="7" t="n">
        <v>28</v>
      </c>
      <c r="H26" s="21">
        <f>F26+G26</f>
        <v/>
      </c>
      <c r="I26" s="7" t="inlineStr">
        <is>
          <t>B</t>
        </is>
      </c>
      <c r="J26" s="7" t="inlineStr">
        <is>
          <t>DEL-DOC-016</t>
        </is>
      </c>
      <c r="K26" s="7" t="n">
        <v>0</v>
      </c>
      <c r="L26" s="7" t="inlineStr">
        <is>
          <t>ب</t>
        </is>
      </c>
      <c r="M26" s="7" t="inlineStr">
        <is>
          <t>cycle-2-charter</t>
        </is>
      </c>
      <c r="N26" s="7" t="inlineStr">
        <is>
          <t>PENDING-M4</t>
        </is>
      </c>
      <c r="O26" s="9" t="inlineStr"/>
      <c r="P26" s="9" t="inlineStr">
        <is>
          <t>DOC-16 (ميثاق دورة) لـ cycle 2 — schema يُبنى في M3، محتوى ETEC-specific في M4.</t>
        </is>
      </c>
    </row>
    <row r="27">
      <c r="A27" s="7" t="inlineStr">
        <is>
          <t>T-C2-02</t>
        </is>
      </c>
      <c r="B27" s="9" t="inlineStr">
        <is>
          <t>إعادة محاذاة الوضع المستقبلي للبنية المؤسسية</t>
        </is>
      </c>
      <c r="C27" s="7" t="inlineStr">
        <is>
          <t>cycle_2</t>
        </is>
      </c>
      <c r="D27" s="7" t="inlineStr">
        <is>
          <t>task</t>
        </is>
      </c>
      <c r="E27" s="7" t="inlineStr"/>
      <c r="F27" s="21" t="n">
        <v>46068</v>
      </c>
      <c r="G27" s="7" t="n">
        <v>75</v>
      </c>
      <c r="H27" s="21">
        <f>F27+G27</f>
        <v/>
      </c>
      <c r="I27" s="7" t="inlineStr">
        <is>
          <t>C</t>
        </is>
      </c>
      <c r="J27" s="7" t="inlineStr">
        <is>
          <t>DEL-DOC-017</t>
        </is>
      </c>
      <c r="K27" s="7" t="n">
        <v>0</v>
      </c>
      <c r="L27" s="7" t="inlineStr">
        <is>
          <t>هـ</t>
        </is>
      </c>
      <c r="M27" s="7" t="inlineStr">
        <is>
          <t>cycle-2-realignment</t>
        </is>
      </c>
      <c r="N27" s="7" t="inlineStr">
        <is>
          <t>PENDING-M4</t>
        </is>
      </c>
      <c r="O27" s="9" t="inlineStr"/>
      <c r="P27" s="9" t="inlineStr">
        <is>
          <t>تحديث TO-BE للـ 4 domains بناءً على Digital Strategy 2026-2028 + EA Strategy v2.</t>
        </is>
      </c>
    </row>
    <row r="28">
      <c r="A28" s="7" t="inlineStr">
        <is>
          <t>T-C2-03</t>
        </is>
      </c>
      <c r="B28" s="9" t="inlineStr">
        <is>
          <t>إعادة محاذاة خارطة الطريق</t>
        </is>
      </c>
      <c r="C28" s="7" t="inlineStr">
        <is>
          <t>cycle_2</t>
        </is>
      </c>
      <c r="D28" s="7" t="inlineStr">
        <is>
          <t>task</t>
        </is>
      </c>
      <c r="E28" s="7" t="inlineStr"/>
      <c r="F28" s="21" t="n">
        <v>46113</v>
      </c>
      <c r="G28" s="7" t="n">
        <v>60</v>
      </c>
      <c r="H28" s="21">
        <f>F28+G28</f>
        <v/>
      </c>
      <c r="I28" s="7" t="inlineStr">
        <is>
          <t>E</t>
        </is>
      </c>
      <c r="J28" s="7" t="inlineStr">
        <is>
          <t>DEL-DOC-019</t>
        </is>
      </c>
      <c r="K28" s="7" t="n">
        <v>0</v>
      </c>
      <c r="L28" s="7" t="inlineStr"/>
      <c r="M28" s="7" t="inlineStr">
        <is>
          <t>cycle-2-realignment</t>
        </is>
      </c>
      <c r="N28" s="7" t="inlineStr">
        <is>
          <t>PENDING-M4</t>
        </is>
      </c>
      <c r="O28" s="9" t="inlineStr"/>
      <c r="P28" s="9" t="inlineStr">
        <is>
          <t>خارطة الطريق V1.1+ — تعكس مشاريع جديدة من Digital Strategy 2026-2028.</t>
        </is>
      </c>
    </row>
    <row r="29">
      <c r="A29" s="7" t="inlineStr">
        <is>
          <t>T-C2-04</t>
        </is>
      </c>
      <c r="B29" s="9" t="inlineStr">
        <is>
          <t>تطبيق تحسينات على وثائق التأطير (بناءً على feedback دورة 1)</t>
        </is>
      </c>
      <c r="C29" s="7" t="inlineStr">
        <is>
          <t>cycle_2</t>
        </is>
      </c>
      <c r="D29" s="7" t="inlineStr">
        <is>
          <t>task</t>
        </is>
      </c>
      <c r="E29" s="7" t="inlineStr"/>
      <c r="F29" s="21" t="n">
        <v>46054</v>
      </c>
      <c r="G29" s="7" t="n">
        <v>150</v>
      </c>
      <c r="H29" s="21">
        <f>F29+G29</f>
        <v/>
      </c>
      <c r="I29" s="7" t="inlineStr">
        <is>
          <t>A</t>
        </is>
      </c>
      <c r="J29" s="7" t="inlineStr">
        <is>
          <t>DEL-DOC-006, DEL-DOC-012, DEL-DOC-014, DEL-DOC-018</t>
        </is>
      </c>
      <c r="K29" s="7" t="n">
        <v>0</v>
      </c>
      <c r="L29" s="7" t="inlineStr"/>
      <c r="M29" s="7" t="inlineStr">
        <is>
          <t>cycle-2-improvement</t>
        </is>
      </c>
      <c r="N29" s="7" t="inlineStr">
        <is>
          <t>PENDING-M4</t>
        </is>
      </c>
      <c r="O29" s="9" t="inlineStr"/>
      <c r="P29" s="9" t="inlineStr">
        <is>
          <t>تحديثات صغيرة على policies + principles + perspectives + reference models بناءً على دروس cycle 1.</t>
        </is>
      </c>
    </row>
    <row r="30">
      <c r="A30" s="7" t="inlineStr">
        <is>
          <t>T-C2-05</t>
        </is>
      </c>
      <c r="B30" s="9" t="inlineStr">
        <is>
          <t>تقرير إغلاق الدورة الثانية</t>
        </is>
      </c>
      <c r="C30" s="7" t="inlineStr">
        <is>
          <t>cycle_2</t>
        </is>
      </c>
      <c r="D30" s="7" t="inlineStr">
        <is>
          <t>task</t>
        </is>
      </c>
      <c r="E30" s="7" t="inlineStr"/>
      <c r="F30" s="21" t="n">
        <v>46188</v>
      </c>
      <c r="G30" s="7" t="n">
        <v>16</v>
      </c>
      <c r="H30" s="21">
        <f>F30+G30</f>
        <v/>
      </c>
      <c r="I30" s="7" t="inlineStr">
        <is>
          <t>F</t>
        </is>
      </c>
      <c r="J30" s="7" t="inlineStr">
        <is>
          <t>DEL-RPT-004</t>
        </is>
      </c>
      <c r="K30" s="7" t="n">
        <v>0</v>
      </c>
      <c r="L30" s="7" t="inlineStr"/>
      <c r="M30" s="7" t="inlineStr">
        <is>
          <t>cycle-2-closure</t>
        </is>
      </c>
      <c r="N30" s="7" t="inlineStr">
        <is>
          <t>PENDING-M4</t>
        </is>
      </c>
      <c r="O30" s="9" t="inlineStr"/>
      <c r="P30" s="9" t="inlineStr">
        <is>
          <t>RPT-04 لـ cycle 2 — توثيق الإنجاز قبل التقديم.</t>
        </is>
      </c>
    </row>
    <row r="31">
      <c r="A31" s="7" t="inlineStr">
        <is>
          <t>T-SUB-01</t>
        </is>
      </c>
      <c r="B31" s="9" t="inlineStr">
        <is>
          <t>إصدار الميثاق العام لدورات تطوير مكونات البنية المؤسسية</t>
        </is>
      </c>
      <c r="C31" s="7" t="inlineStr">
        <is>
          <t>submission</t>
        </is>
      </c>
      <c r="D31" s="7" t="inlineStr">
        <is>
          <t>task</t>
        </is>
      </c>
      <c r="E31" s="7" t="inlineStr"/>
      <c r="F31" s="21" t="n">
        <v>46174</v>
      </c>
      <c r="G31" s="7" t="n">
        <v>15</v>
      </c>
      <c r="H31" s="21">
        <f>F31+G31</f>
        <v/>
      </c>
      <c r="I31" s="7" t="inlineStr">
        <is>
          <t>B</t>
        </is>
      </c>
      <c r="J31" s="7" t="inlineStr">
        <is>
          <t>DEL-DOC-015</t>
        </is>
      </c>
      <c r="K31" s="7" t="n">
        <v>0</v>
      </c>
      <c r="L31" s="7" t="inlineStr">
        <is>
          <t>هـ</t>
        </is>
      </c>
      <c r="M31" s="7" t="inlineStr">
        <is>
          <t>submission-charter</t>
        </is>
      </c>
      <c r="N31" s="7" t="inlineStr">
        <is>
          <t>PENDING-M3</t>
        </is>
      </c>
      <c r="O31" s="9" t="inlineStr"/>
      <c r="P31" s="9" t="inlineStr">
        <is>
          <t>DOC-15 (الميثاق العام) — يخدم كل دورات الممارسة (rétrospectivement لـ cycle 1 + بشكل مستقبلي لـ cycle 2). schema في M3، محتوى في M4.</t>
        </is>
      </c>
    </row>
    <row r="32">
      <c r="A32" s="7" t="inlineStr">
        <is>
          <t>T-SUB-02</t>
        </is>
      </c>
      <c r="B32" s="9" t="inlineStr">
        <is>
          <t>تجميع ملف التقديم (Submission Package)</t>
        </is>
      </c>
      <c r="C32" s="7" t="inlineStr">
        <is>
          <t>submission</t>
        </is>
      </c>
      <c r="D32" s="7" t="inlineStr">
        <is>
          <t>task</t>
        </is>
      </c>
      <c r="E32" s="7" t="inlineStr"/>
      <c r="F32" s="21" t="n">
        <v>46188</v>
      </c>
      <c r="G32" s="7" t="n">
        <v>31</v>
      </c>
      <c r="H32" s="21">
        <f>F32+G32</f>
        <v/>
      </c>
      <c r="I32" s="7" t="inlineStr">
        <is>
          <t>F</t>
        </is>
      </c>
      <c r="J32" s="7" t="inlineStr"/>
      <c r="K32" s="7" t="n">
        <v>0</v>
      </c>
      <c r="L32" s="7" t="inlineStr"/>
      <c r="M32" s="7" t="inlineStr">
        <is>
          <t>submission</t>
        </is>
      </c>
      <c r="N32" s="7" t="inlineStr">
        <is>
          <t>PLANNED-M5</t>
        </is>
      </c>
      <c r="O32" s="9" t="inlineStr"/>
      <c r="P32" s="9" t="inlineStr">
        <is>
          <t>تجميع submission-package/ بترتيب: 00-cover / 10-foundation / 20-cycle-1 / 30-cycle-2 / 99-evidence-map.json.</t>
        </is>
      </c>
    </row>
    <row r="33">
      <c r="A33" s="7" t="inlineStr">
        <is>
          <t>T-SUB-03</t>
        </is>
      </c>
      <c r="B33" s="9" t="inlineStr">
        <is>
          <t>التقديم الرسمي للجنة التقييم</t>
        </is>
      </c>
      <c r="C33" s="7" t="inlineStr">
        <is>
          <t>submission</t>
        </is>
      </c>
      <c r="D33" s="7" t="inlineStr">
        <is>
          <t>task</t>
        </is>
      </c>
      <c r="E33" s="7" t="inlineStr"/>
      <c r="F33" s="21" t="n">
        <v>46218</v>
      </c>
      <c r="G33" s="7" t="n">
        <v>16</v>
      </c>
      <c r="H33" s="21">
        <f>F33+G33</f>
        <v/>
      </c>
      <c r="I33" s="7" t="inlineStr">
        <is>
          <t>F</t>
        </is>
      </c>
      <c r="J33" s="7" t="inlineStr"/>
      <c r="K33" s="7" t="n">
        <v>0</v>
      </c>
      <c r="L33" s="7" t="inlineStr"/>
      <c r="M33" s="7" t="inlineStr">
        <is>
          <t>submission</t>
        </is>
      </c>
      <c r="N33" s="7" t="inlineStr">
        <is>
          <t>PLANNED</t>
        </is>
      </c>
      <c r="O33" s="9" t="inlineStr"/>
      <c r="P33" s="9" t="inlineStr">
        <is>
          <t>deadline = 2026-07-31.</t>
        </is>
      </c>
    </row>
    <row r="35">
      <c r="A35" s="22" t="inlineStr">
        <is>
          <t>ℹ️ INPUT (أزرق) = تُعدَّل هنا. COMPUTED (أخضر) = صيغة، لا تَلمسها.</t>
        </is>
      </c>
    </row>
  </sheetData>
  <conditionalFormatting sqref="N2:N33">
    <cfRule type="cellIs" priority="1" operator="equal" dxfId="0">
      <formula>"completed"</formula>
    </cfRule>
    <cfRule type="cellIs" priority="2" operator="equal" dxfId="1">
      <formula>"completed-no-formal-doc"</formula>
    </cfRule>
    <cfRule type="cellIs" priority="3" operator="equal" dxfId="2">
      <formula>"PENDING-M3"</formula>
    </cfRule>
    <cfRule type="cellIs" priority="4" operator="equal" dxfId="3">
      <formula>"PENDING-M4"</formula>
    </cfRule>
    <cfRule type="cellIs" priority="5" operator="equal" dxfId="4">
      <formula>"PLANNED-M5"</formula>
    </cfRule>
    <cfRule type="cellIs" priority="6" operator="equal" dxfId="5">
      <formula>"PLANNED"</formula>
    </cfRule>
  </conditionalFormatting>
  <conditionalFormatting sqref="C2:C33">
    <cfRule type="cellIs" priority="7" operator="equal" dxfId="6">
      <formula>"foundation"</formula>
    </cfRule>
    <cfRule type="cellIs" priority="8" operator="equal" dxfId="7">
      <formula>"cycle_1"</formula>
    </cfRule>
    <cfRule type="cellIs" priority="9" operator="equal" dxfId="8">
      <formula>"cycle_2_trigger"</formula>
    </cfRule>
    <cfRule type="cellIs" priority="10" operator="equal" dxfId="9">
      <formula>"cycle_2"</formula>
    </cfRule>
    <cfRule type="cellIs" priority="11" operator="equal" dxfId="10">
      <formula>"submission"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5" customWidth="1" min="4" max="4"/>
    <col width="45" customWidth="1" min="5" max="5"/>
    <col width="45" customWidth="1" min="6" max="6"/>
  </cols>
  <sheetData>
    <row r="1">
      <c r="A1" s="6" t="inlineStr">
        <is>
          <t>parent_id</t>
        </is>
      </c>
      <c r="B1" s="6" t="inlineStr">
        <is>
          <t>child_id</t>
        </is>
      </c>
      <c r="C1" s="6" t="inlineStr">
        <is>
          <t>lag_days</t>
        </is>
      </c>
      <c r="D1" s="20" t="inlineStr">
        <is>
          <t>parent_name_ar</t>
        </is>
      </c>
      <c r="E1" s="20" t="inlineStr">
        <is>
          <t>child_name_ar</t>
        </is>
      </c>
      <c r="F1" s="20" t="inlineStr">
        <is>
          <t>parent_EF</t>
        </is>
      </c>
      <c r="G1" s="20" t="inlineStr">
        <is>
          <t>child_LS</t>
        </is>
      </c>
    </row>
    <row r="2">
      <c r="A2" s="7" t="inlineStr">
        <is>
          <t>T-F01.1</t>
        </is>
      </c>
      <c r="B2" s="7" t="inlineStr">
        <is>
          <t>T-F01.2</t>
        </is>
      </c>
      <c r="C2" s="7" t="n">
        <v>0</v>
      </c>
      <c r="D2" s="9">
        <f>XLOOKUP(A2,Tasks!$A$2:$A$33,Tasks!$B$2:$B$33,"")</f>
        <v/>
      </c>
      <c r="E2" s="9">
        <f>XLOOKUP(B2,Tasks!$A$2:$A$33,Tasks!$B$2:$B$33,"")</f>
        <v/>
      </c>
      <c r="F2" s="7">
        <f>IFERROR(XLOOKUP(A2,'Critical-Path'!$A$2:$A$33,'Critical-Path'!$E$2:$E$33),0)</f>
        <v/>
      </c>
      <c r="G2" s="7">
        <f>IFERROR(XLOOKUP(B2,'Critical-Path'!$A$2:$A$33,'Critical-Path'!$F$2:$F$33),project_finish)</f>
        <v/>
      </c>
    </row>
    <row r="3">
      <c r="A3" s="7" t="inlineStr">
        <is>
          <t>T-F01.1</t>
        </is>
      </c>
      <c r="B3" s="7" t="inlineStr">
        <is>
          <t>T-F01.4</t>
        </is>
      </c>
      <c r="C3" s="7" t="n">
        <v>0</v>
      </c>
      <c r="D3" s="9">
        <f>XLOOKUP(A3,Tasks!$A$2:$A$33,Tasks!$B$2:$B$33,"")</f>
        <v/>
      </c>
      <c r="E3" s="9">
        <f>XLOOKUP(B3,Tasks!$A$2:$A$33,Tasks!$B$2:$B$33,"")</f>
        <v/>
      </c>
      <c r="F3" s="7">
        <f>IFERROR(XLOOKUP(A3,'Critical-Path'!$A$2:$A$33,'Critical-Path'!$E$2:$E$33),0)</f>
        <v/>
      </c>
      <c r="G3" s="7">
        <f>IFERROR(XLOOKUP(B3,'Critical-Path'!$A$2:$A$33,'Critical-Path'!$F$2:$F$33),project_finish)</f>
        <v/>
      </c>
    </row>
    <row r="4">
      <c r="A4" s="7" t="inlineStr">
        <is>
          <t>T-F01.3</t>
        </is>
      </c>
      <c r="B4" s="7" t="inlineStr">
        <is>
          <t>T-F01.4</t>
        </is>
      </c>
      <c r="C4" s="7" t="n">
        <v>0</v>
      </c>
      <c r="D4" s="9">
        <f>XLOOKUP(A4,Tasks!$A$2:$A$33,Tasks!$B$2:$B$33,"")</f>
        <v/>
      </c>
      <c r="E4" s="9">
        <f>XLOOKUP(B4,Tasks!$A$2:$A$33,Tasks!$B$2:$B$33,"")</f>
        <v/>
      </c>
      <c r="F4" s="7">
        <f>IFERROR(XLOOKUP(A4,'Critical-Path'!$A$2:$A$33,'Critical-Path'!$E$2:$E$33),0)</f>
        <v/>
      </c>
      <c r="G4" s="7">
        <f>IFERROR(XLOOKUP(B4,'Critical-Path'!$A$2:$A$33,'Critical-Path'!$F$2:$F$33),project_finish)</f>
        <v/>
      </c>
    </row>
    <row r="5">
      <c r="A5" s="7" t="inlineStr">
        <is>
          <t>T-F01.2</t>
        </is>
      </c>
      <c r="B5" s="7" t="inlineStr">
        <is>
          <t>T-F01.5</t>
        </is>
      </c>
      <c r="C5" s="7" t="n">
        <v>0</v>
      </c>
      <c r="D5" s="9">
        <f>XLOOKUP(A5,Tasks!$A$2:$A$33,Tasks!$B$2:$B$33,"")</f>
        <v/>
      </c>
      <c r="E5" s="9">
        <f>XLOOKUP(B5,Tasks!$A$2:$A$33,Tasks!$B$2:$B$33,"")</f>
        <v/>
      </c>
      <c r="F5" s="7">
        <f>IFERROR(XLOOKUP(A5,'Critical-Path'!$A$2:$A$33,'Critical-Path'!$E$2:$E$33),0)</f>
        <v/>
      </c>
      <c r="G5" s="7">
        <f>IFERROR(XLOOKUP(B5,'Critical-Path'!$A$2:$A$33,'Critical-Path'!$F$2:$F$33),project_finish)</f>
        <v/>
      </c>
    </row>
    <row r="6">
      <c r="A6" s="7" t="inlineStr">
        <is>
          <t>T-F01.4</t>
        </is>
      </c>
      <c r="B6" s="7" t="inlineStr">
        <is>
          <t>T-F01.6</t>
        </is>
      </c>
      <c r="C6" s="7" t="n">
        <v>0</v>
      </c>
      <c r="D6" s="9">
        <f>XLOOKUP(A6,Tasks!$A$2:$A$33,Tasks!$B$2:$B$33,"")</f>
        <v/>
      </c>
      <c r="E6" s="9">
        <f>XLOOKUP(B6,Tasks!$A$2:$A$33,Tasks!$B$2:$B$33,"")</f>
        <v/>
      </c>
      <c r="F6" s="7">
        <f>IFERROR(XLOOKUP(A6,'Critical-Path'!$A$2:$A$33,'Critical-Path'!$E$2:$E$33),0)</f>
        <v/>
      </c>
      <c r="G6" s="7">
        <f>IFERROR(XLOOKUP(B6,'Critical-Path'!$A$2:$A$33,'Critical-Path'!$F$2:$F$33),project_finish)</f>
        <v/>
      </c>
    </row>
    <row r="7">
      <c r="A7" s="7" t="inlineStr">
        <is>
          <t>T-F01.6</t>
        </is>
      </c>
      <c r="B7" s="7" t="inlineStr">
        <is>
          <t>T-F01.7</t>
        </is>
      </c>
      <c r="C7" s="7" t="n">
        <v>0</v>
      </c>
      <c r="D7" s="9">
        <f>XLOOKUP(A7,Tasks!$A$2:$A$33,Tasks!$B$2:$B$33,"")</f>
        <v/>
      </c>
      <c r="E7" s="9">
        <f>XLOOKUP(B7,Tasks!$A$2:$A$33,Tasks!$B$2:$B$33,"")</f>
        <v/>
      </c>
      <c r="F7" s="7">
        <f>IFERROR(XLOOKUP(A7,'Critical-Path'!$A$2:$A$33,'Critical-Path'!$E$2:$E$33),0)</f>
        <v/>
      </c>
      <c r="G7" s="7">
        <f>IFERROR(XLOOKUP(B7,'Critical-Path'!$A$2:$A$33,'Critical-Path'!$F$2:$F$33),project_finish)</f>
        <v/>
      </c>
    </row>
    <row r="8">
      <c r="A8" s="7" t="inlineStr">
        <is>
          <t>T-F01.4</t>
        </is>
      </c>
      <c r="B8" s="7" t="inlineStr">
        <is>
          <t>T-C1-01</t>
        </is>
      </c>
      <c r="C8" s="7" t="n">
        <v>0</v>
      </c>
      <c r="D8" s="9">
        <f>XLOOKUP(A8,Tasks!$A$2:$A$33,Tasks!$B$2:$B$33,"")</f>
        <v/>
      </c>
      <c r="E8" s="9">
        <f>XLOOKUP(B8,Tasks!$A$2:$A$33,Tasks!$B$2:$B$33,"")</f>
        <v/>
      </c>
      <c r="F8" s="7">
        <f>IFERROR(XLOOKUP(A8,'Critical-Path'!$A$2:$A$33,'Critical-Path'!$E$2:$E$33),0)</f>
        <v/>
      </c>
      <c r="G8" s="7">
        <f>IFERROR(XLOOKUP(B8,'Critical-Path'!$A$2:$A$33,'Critical-Path'!$F$2:$F$33),project_finish)</f>
        <v/>
      </c>
    </row>
    <row r="9">
      <c r="A9" s="7" t="inlineStr">
        <is>
          <t>T-F01.6</t>
        </is>
      </c>
      <c r="B9" s="7" t="inlineStr">
        <is>
          <t>T-C1-01</t>
        </is>
      </c>
      <c r="C9" s="7" t="n">
        <v>0</v>
      </c>
      <c r="D9" s="9">
        <f>XLOOKUP(A9,Tasks!$A$2:$A$33,Tasks!$B$2:$B$33,"")</f>
        <v/>
      </c>
      <c r="E9" s="9">
        <f>XLOOKUP(B9,Tasks!$A$2:$A$33,Tasks!$B$2:$B$33,"")</f>
        <v/>
      </c>
      <c r="F9" s="7">
        <f>IFERROR(XLOOKUP(A9,'Critical-Path'!$A$2:$A$33,'Critical-Path'!$E$2:$E$33),0)</f>
        <v/>
      </c>
      <c r="G9" s="7">
        <f>IFERROR(XLOOKUP(B9,'Critical-Path'!$A$2:$A$33,'Critical-Path'!$F$2:$F$33),project_finish)</f>
        <v/>
      </c>
    </row>
    <row r="10">
      <c r="A10" s="7" t="inlineStr">
        <is>
          <t>T-C1-01</t>
        </is>
      </c>
      <c r="B10" s="7" t="inlineStr">
        <is>
          <t>T-C1-02</t>
        </is>
      </c>
      <c r="C10" s="7" t="n">
        <v>0</v>
      </c>
      <c r="D10" s="9">
        <f>XLOOKUP(A10,Tasks!$A$2:$A$33,Tasks!$B$2:$B$33,"")</f>
        <v/>
      </c>
      <c r="E10" s="9">
        <f>XLOOKUP(B10,Tasks!$A$2:$A$33,Tasks!$B$2:$B$33,"")</f>
        <v/>
      </c>
      <c r="F10" s="7">
        <f>IFERROR(XLOOKUP(A10,'Critical-Path'!$A$2:$A$33,'Critical-Path'!$E$2:$E$33),0)</f>
        <v/>
      </c>
      <c r="G10" s="7">
        <f>IFERROR(XLOOKUP(B10,'Critical-Path'!$A$2:$A$33,'Critical-Path'!$F$2:$F$33),project_finish)</f>
        <v/>
      </c>
    </row>
    <row r="11">
      <c r="A11" s="7" t="inlineStr">
        <is>
          <t>T-C1-01</t>
        </is>
      </c>
      <c r="B11" s="7" t="inlineStr">
        <is>
          <t>T-C1-03</t>
        </is>
      </c>
      <c r="C11" s="7" t="n">
        <v>0</v>
      </c>
      <c r="D11" s="9">
        <f>XLOOKUP(A11,Tasks!$A$2:$A$33,Tasks!$B$2:$B$33,"")</f>
        <v/>
      </c>
      <c r="E11" s="9">
        <f>XLOOKUP(B11,Tasks!$A$2:$A$33,Tasks!$B$2:$B$33,"")</f>
        <v/>
      </c>
      <c r="F11" s="7">
        <f>IFERROR(XLOOKUP(A11,'Critical-Path'!$A$2:$A$33,'Critical-Path'!$E$2:$E$33),0)</f>
        <v/>
      </c>
      <c r="G11" s="7">
        <f>IFERROR(XLOOKUP(B11,'Critical-Path'!$A$2:$A$33,'Critical-Path'!$F$2:$F$33),project_finish)</f>
        <v/>
      </c>
    </row>
    <row r="12">
      <c r="A12" s="7" t="inlineStr">
        <is>
          <t>T-C1-02</t>
        </is>
      </c>
      <c r="B12" s="7" t="inlineStr">
        <is>
          <t>T-C1-03</t>
        </is>
      </c>
      <c r="C12" s="7" t="n">
        <v>0</v>
      </c>
      <c r="D12" s="9">
        <f>XLOOKUP(A12,Tasks!$A$2:$A$33,Tasks!$B$2:$B$33,"")</f>
        <v/>
      </c>
      <c r="E12" s="9">
        <f>XLOOKUP(B12,Tasks!$A$2:$A$33,Tasks!$B$2:$B$33,"")</f>
        <v/>
      </c>
      <c r="F12" s="7">
        <f>IFERROR(XLOOKUP(A12,'Critical-Path'!$A$2:$A$33,'Critical-Path'!$E$2:$E$33),0)</f>
        <v/>
      </c>
      <c r="G12" s="7">
        <f>IFERROR(XLOOKUP(B12,'Critical-Path'!$A$2:$A$33,'Critical-Path'!$F$2:$F$33),project_finish)</f>
        <v/>
      </c>
    </row>
    <row r="13">
      <c r="A13" s="7" t="inlineStr">
        <is>
          <t>T-C1-03</t>
        </is>
      </c>
      <c r="B13" s="7" t="inlineStr">
        <is>
          <t>T-C1-04</t>
        </is>
      </c>
      <c r="C13" s="7" t="n">
        <v>0</v>
      </c>
      <c r="D13" s="9">
        <f>XLOOKUP(A13,Tasks!$A$2:$A$33,Tasks!$B$2:$B$33,"")</f>
        <v/>
      </c>
      <c r="E13" s="9">
        <f>XLOOKUP(B13,Tasks!$A$2:$A$33,Tasks!$B$2:$B$33,"")</f>
        <v/>
      </c>
      <c r="F13" s="7">
        <f>IFERROR(XLOOKUP(A13,'Critical-Path'!$A$2:$A$33,'Critical-Path'!$E$2:$E$33),0)</f>
        <v/>
      </c>
      <c r="G13" s="7">
        <f>IFERROR(XLOOKUP(B13,'Critical-Path'!$A$2:$A$33,'Critical-Path'!$F$2:$F$33),project_finish)</f>
        <v/>
      </c>
    </row>
    <row r="14">
      <c r="A14" s="7" t="inlineStr">
        <is>
          <t>T-C1-03</t>
        </is>
      </c>
      <c r="B14" s="7" t="inlineStr">
        <is>
          <t>T-C1-05</t>
        </is>
      </c>
      <c r="C14" s="7" t="n">
        <v>0</v>
      </c>
      <c r="D14" s="9">
        <f>XLOOKUP(A14,Tasks!$A$2:$A$33,Tasks!$B$2:$B$33,"")</f>
        <v/>
      </c>
      <c r="E14" s="9">
        <f>XLOOKUP(B14,Tasks!$A$2:$A$33,Tasks!$B$2:$B$33,"")</f>
        <v/>
      </c>
      <c r="F14" s="7">
        <f>IFERROR(XLOOKUP(A14,'Critical-Path'!$A$2:$A$33,'Critical-Path'!$E$2:$E$33),0)</f>
        <v/>
      </c>
      <c r="G14" s="7">
        <f>IFERROR(XLOOKUP(B14,'Critical-Path'!$A$2:$A$33,'Critical-Path'!$F$2:$F$33),project_finish)</f>
        <v/>
      </c>
    </row>
    <row r="15">
      <c r="A15" s="7" t="inlineStr">
        <is>
          <t>T-F01.7</t>
        </is>
      </c>
      <c r="B15" s="7" t="inlineStr">
        <is>
          <t>T-C1-06</t>
        </is>
      </c>
      <c r="C15" s="7" t="n">
        <v>0</v>
      </c>
      <c r="D15" s="9">
        <f>XLOOKUP(A15,Tasks!$A$2:$A$33,Tasks!$B$2:$B$33,"")</f>
        <v/>
      </c>
      <c r="E15" s="9">
        <f>XLOOKUP(B15,Tasks!$A$2:$A$33,Tasks!$B$2:$B$33,"")</f>
        <v/>
      </c>
      <c r="F15" s="7">
        <f>IFERROR(XLOOKUP(A15,'Critical-Path'!$A$2:$A$33,'Critical-Path'!$E$2:$E$33),0)</f>
        <v/>
      </c>
      <c r="G15" s="7">
        <f>IFERROR(XLOOKUP(B15,'Critical-Path'!$A$2:$A$33,'Critical-Path'!$F$2:$F$33),project_finish)</f>
        <v/>
      </c>
    </row>
    <row r="16">
      <c r="A16" s="7" t="inlineStr">
        <is>
          <t>T-F01.7</t>
        </is>
      </c>
      <c r="B16" s="7" t="inlineStr">
        <is>
          <t>T-C1-07</t>
        </is>
      </c>
      <c r="C16" s="7" t="n">
        <v>0</v>
      </c>
      <c r="D16" s="9">
        <f>XLOOKUP(A16,Tasks!$A$2:$A$33,Tasks!$B$2:$B$33,"")</f>
        <v/>
      </c>
      <c r="E16" s="9">
        <f>XLOOKUP(B16,Tasks!$A$2:$A$33,Tasks!$B$2:$B$33,"")</f>
        <v/>
      </c>
      <c r="F16" s="7">
        <f>IFERROR(XLOOKUP(A16,'Critical-Path'!$A$2:$A$33,'Critical-Path'!$E$2:$E$33),0)</f>
        <v/>
      </c>
      <c r="G16" s="7">
        <f>IFERROR(XLOOKUP(B16,'Critical-Path'!$A$2:$A$33,'Critical-Path'!$F$2:$F$33),project_finish)</f>
        <v/>
      </c>
    </row>
    <row r="17">
      <c r="A17" s="7" t="inlineStr">
        <is>
          <t>T-F01.7</t>
        </is>
      </c>
      <c r="B17" s="7" t="inlineStr">
        <is>
          <t>T-C1-08</t>
        </is>
      </c>
      <c r="C17" s="7" t="n">
        <v>0</v>
      </c>
      <c r="D17" s="9">
        <f>XLOOKUP(A17,Tasks!$A$2:$A$33,Tasks!$B$2:$B$33,"")</f>
        <v/>
      </c>
      <c r="E17" s="9">
        <f>XLOOKUP(B17,Tasks!$A$2:$A$33,Tasks!$B$2:$B$33,"")</f>
        <v/>
      </c>
      <c r="F17" s="7">
        <f>IFERROR(XLOOKUP(A17,'Critical-Path'!$A$2:$A$33,'Critical-Path'!$E$2:$E$33),0)</f>
        <v/>
      </c>
      <c r="G17" s="7">
        <f>IFERROR(XLOOKUP(B17,'Critical-Path'!$A$2:$A$33,'Critical-Path'!$F$2:$F$33),project_finish)</f>
        <v/>
      </c>
    </row>
    <row r="18">
      <c r="A18" s="7" t="inlineStr">
        <is>
          <t>T-C1-04</t>
        </is>
      </c>
      <c r="B18" s="7" t="inlineStr">
        <is>
          <t>T-C1-09</t>
        </is>
      </c>
      <c r="C18" s="7" t="n">
        <v>0</v>
      </c>
      <c r="D18" s="9">
        <f>XLOOKUP(A18,Tasks!$A$2:$A$33,Tasks!$B$2:$B$33,"")</f>
        <v/>
      </c>
      <c r="E18" s="9">
        <f>XLOOKUP(B18,Tasks!$A$2:$A$33,Tasks!$B$2:$B$33,"")</f>
        <v/>
      </c>
      <c r="F18" s="7">
        <f>IFERROR(XLOOKUP(A18,'Critical-Path'!$A$2:$A$33,'Critical-Path'!$E$2:$E$33),0)</f>
        <v/>
      </c>
      <c r="G18" s="7">
        <f>IFERROR(XLOOKUP(B18,'Critical-Path'!$A$2:$A$33,'Critical-Path'!$F$2:$F$33),project_finish)</f>
        <v/>
      </c>
    </row>
    <row r="19">
      <c r="A19" s="7" t="inlineStr">
        <is>
          <t>T-C1-05</t>
        </is>
      </c>
      <c r="B19" s="7" t="inlineStr">
        <is>
          <t>T-C1-09</t>
        </is>
      </c>
      <c r="C19" s="7" t="n">
        <v>0</v>
      </c>
      <c r="D19" s="9">
        <f>XLOOKUP(A19,Tasks!$A$2:$A$33,Tasks!$B$2:$B$33,"")</f>
        <v/>
      </c>
      <c r="E19" s="9">
        <f>XLOOKUP(B19,Tasks!$A$2:$A$33,Tasks!$B$2:$B$33,"")</f>
        <v/>
      </c>
      <c r="F19" s="7">
        <f>IFERROR(XLOOKUP(A19,'Critical-Path'!$A$2:$A$33,'Critical-Path'!$E$2:$E$33),0)</f>
        <v/>
      </c>
      <c r="G19" s="7">
        <f>IFERROR(XLOOKUP(B19,'Critical-Path'!$A$2:$A$33,'Critical-Path'!$F$2:$F$33),project_finish)</f>
        <v/>
      </c>
    </row>
    <row r="20">
      <c r="A20" s="7" t="inlineStr">
        <is>
          <t>T-CT-01</t>
        </is>
      </c>
      <c r="B20" s="7" t="inlineStr">
        <is>
          <t>T-CT-02</t>
        </is>
      </c>
      <c r="C20" s="7" t="n">
        <v>0</v>
      </c>
      <c r="D20" s="9">
        <f>XLOOKUP(A20,Tasks!$A$2:$A$33,Tasks!$B$2:$B$33,"")</f>
        <v/>
      </c>
      <c r="E20" s="9">
        <f>XLOOKUP(B20,Tasks!$A$2:$A$33,Tasks!$B$2:$B$33,"")</f>
        <v/>
      </c>
      <c r="F20" s="7">
        <f>IFERROR(XLOOKUP(A20,'Critical-Path'!$A$2:$A$33,'Critical-Path'!$E$2:$E$33),0)</f>
        <v/>
      </c>
      <c r="G20" s="7">
        <f>IFERROR(XLOOKUP(B20,'Critical-Path'!$A$2:$A$33,'Critical-Path'!$F$2:$F$33),project_finish)</f>
        <v/>
      </c>
    </row>
    <row r="21">
      <c r="A21" s="7" t="inlineStr">
        <is>
          <t>T-CT-01</t>
        </is>
      </c>
      <c r="B21" s="7" t="inlineStr">
        <is>
          <t>T-CT-03</t>
        </is>
      </c>
      <c r="C21" s="7" t="n">
        <v>0</v>
      </c>
      <c r="D21" s="9">
        <f>XLOOKUP(A21,Tasks!$A$2:$A$33,Tasks!$B$2:$B$33,"")</f>
        <v/>
      </c>
      <c r="E21" s="9">
        <f>XLOOKUP(B21,Tasks!$A$2:$A$33,Tasks!$B$2:$B$33,"")</f>
        <v/>
      </c>
      <c r="F21" s="7">
        <f>IFERROR(XLOOKUP(A21,'Critical-Path'!$A$2:$A$33,'Critical-Path'!$E$2:$E$33),0)</f>
        <v/>
      </c>
      <c r="G21" s="7">
        <f>IFERROR(XLOOKUP(B21,'Critical-Path'!$A$2:$A$33,'Critical-Path'!$F$2:$F$33),project_finish)</f>
        <v/>
      </c>
    </row>
    <row r="22">
      <c r="A22" s="7" t="inlineStr">
        <is>
          <t>T-CT-01</t>
        </is>
      </c>
      <c r="B22" s="7" t="inlineStr">
        <is>
          <t>T-CT-04</t>
        </is>
      </c>
      <c r="C22" s="7" t="n">
        <v>0</v>
      </c>
      <c r="D22" s="9">
        <f>XLOOKUP(A22,Tasks!$A$2:$A$33,Tasks!$B$2:$B$33,"")</f>
        <v/>
      </c>
      <c r="E22" s="9">
        <f>XLOOKUP(B22,Tasks!$A$2:$A$33,Tasks!$B$2:$B$33,"")</f>
        <v/>
      </c>
      <c r="F22" s="7">
        <f>IFERROR(XLOOKUP(A22,'Critical-Path'!$A$2:$A$33,'Critical-Path'!$E$2:$E$33),0)</f>
        <v/>
      </c>
      <c r="G22" s="7">
        <f>IFERROR(XLOOKUP(B22,'Critical-Path'!$A$2:$A$33,'Critical-Path'!$F$2:$F$33),project_finish)</f>
        <v/>
      </c>
    </row>
    <row r="23">
      <c r="A23" s="7" t="inlineStr">
        <is>
          <t>T-CT-02</t>
        </is>
      </c>
      <c r="B23" s="7" t="inlineStr">
        <is>
          <t>T-CT-05</t>
        </is>
      </c>
      <c r="C23" s="7" t="n">
        <v>0</v>
      </c>
      <c r="D23" s="9">
        <f>XLOOKUP(A23,Tasks!$A$2:$A$33,Tasks!$B$2:$B$33,"")</f>
        <v/>
      </c>
      <c r="E23" s="9">
        <f>XLOOKUP(B23,Tasks!$A$2:$A$33,Tasks!$B$2:$B$33,"")</f>
        <v/>
      </c>
      <c r="F23" s="7">
        <f>IFERROR(XLOOKUP(A23,'Critical-Path'!$A$2:$A$33,'Critical-Path'!$E$2:$E$33),0)</f>
        <v/>
      </c>
      <c r="G23" s="7">
        <f>IFERROR(XLOOKUP(B23,'Critical-Path'!$A$2:$A$33,'Critical-Path'!$F$2:$F$33),project_finish)</f>
        <v/>
      </c>
    </row>
    <row r="24">
      <c r="A24" s="7" t="inlineStr">
        <is>
          <t>T-CT-03</t>
        </is>
      </c>
      <c r="B24" s="7" t="inlineStr">
        <is>
          <t>T-CT-05</t>
        </is>
      </c>
      <c r="C24" s="7" t="n">
        <v>0</v>
      </c>
      <c r="D24" s="9">
        <f>XLOOKUP(A24,Tasks!$A$2:$A$33,Tasks!$B$2:$B$33,"")</f>
        <v/>
      </c>
      <c r="E24" s="9">
        <f>XLOOKUP(B24,Tasks!$A$2:$A$33,Tasks!$B$2:$B$33,"")</f>
        <v/>
      </c>
      <c r="F24" s="7">
        <f>IFERROR(XLOOKUP(A24,'Critical-Path'!$A$2:$A$33,'Critical-Path'!$E$2:$E$33),0)</f>
        <v/>
      </c>
      <c r="G24" s="7">
        <f>IFERROR(XLOOKUP(B24,'Critical-Path'!$A$2:$A$33,'Critical-Path'!$F$2:$F$33),project_finish)</f>
        <v/>
      </c>
    </row>
    <row r="25">
      <c r="A25" s="7" t="inlineStr">
        <is>
          <t>T-CT-04</t>
        </is>
      </c>
      <c r="B25" s="7" t="inlineStr">
        <is>
          <t>T-CT-05</t>
        </is>
      </c>
      <c r="C25" s="7" t="n">
        <v>0</v>
      </c>
      <c r="D25" s="9">
        <f>XLOOKUP(A25,Tasks!$A$2:$A$33,Tasks!$B$2:$B$33,"")</f>
        <v/>
      </c>
      <c r="E25" s="9">
        <f>XLOOKUP(B25,Tasks!$A$2:$A$33,Tasks!$B$2:$B$33,"")</f>
        <v/>
      </c>
      <c r="F25" s="7">
        <f>IFERROR(XLOOKUP(A25,'Critical-Path'!$A$2:$A$33,'Critical-Path'!$E$2:$E$33),0)</f>
        <v/>
      </c>
      <c r="G25" s="7">
        <f>IFERROR(XLOOKUP(B25,'Critical-Path'!$A$2:$A$33,'Critical-Path'!$F$2:$F$33),project_finish)</f>
        <v/>
      </c>
    </row>
    <row r="26">
      <c r="A26" s="7" t="inlineStr">
        <is>
          <t>T-CT-05</t>
        </is>
      </c>
      <c r="B26" s="7" t="inlineStr">
        <is>
          <t>T-CT-06</t>
        </is>
      </c>
      <c r="C26" s="7" t="n">
        <v>0</v>
      </c>
      <c r="D26" s="9">
        <f>XLOOKUP(A26,Tasks!$A$2:$A$33,Tasks!$B$2:$B$33,"")</f>
        <v/>
      </c>
      <c r="E26" s="9">
        <f>XLOOKUP(B26,Tasks!$A$2:$A$33,Tasks!$B$2:$B$33,"")</f>
        <v/>
      </c>
      <c r="F26" s="7">
        <f>IFERROR(XLOOKUP(A26,'Critical-Path'!$A$2:$A$33,'Critical-Path'!$E$2:$E$33),0)</f>
        <v/>
      </c>
      <c r="G26" s="7">
        <f>IFERROR(XLOOKUP(B26,'Critical-Path'!$A$2:$A$33,'Critical-Path'!$F$2:$F$33),project_finish)</f>
        <v/>
      </c>
    </row>
    <row r="27">
      <c r="A27" s="7" t="inlineStr">
        <is>
          <t>T-CT-06</t>
        </is>
      </c>
      <c r="B27" s="7" t="inlineStr">
        <is>
          <t>T-C2-01</t>
        </is>
      </c>
      <c r="C27" s="7" t="n">
        <v>0</v>
      </c>
      <c r="D27" s="9">
        <f>XLOOKUP(A27,Tasks!$A$2:$A$33,Tasks!$B$2:$B$33,"")</f>
        <v/>
      </c>
      <c r="E27" s="9">
        <f>XLOOKUP(B27,Tasks!$A$2:$A$33,Tasks!$B$2:$B$33,"")</f>
        <v/>
      </c>
      <c r="F27" s="7">
        <f>IFERROR(XLOOKUP(A27,'Critical-Path'!$A$2:$A$33,'Critical-Path'!$E$2:$E$33),0)</f>
        <v/>
      </c>
      <c r="G27" s="7">
        <f>IFERROR(XLOOKUP(B27,'Critical-Path'!$A$2:$A$33,'Critical-Path'!$F$2:$F$33),project_finish)</f>
        <v/>
      </c>
    </row>
    <row r="28">
      <c r="A28" s="7" t="inlineStr">
        <is>
          <t>T-CT-05</t>
        </is>
      </c>
      <c r="B28" s="7" t="inlineStr">
        <is>
          <t>T-C2-02</t>
        </is>
      </c>
      <c r="C28" s="7" t="n">
        <v>0</v>
      </c>
      <c r="D28" s="9">
        <f>XLOOKUP(A28,Tasks!$A$2:$A$33,Tasks!$B$2:$B$33,"")</f>
        <v/>
      </c>
      <c r="E28" s="9">
        <f>XLOOKUP(B28,Tasks!$A$2:$A$33,Tasks!$B$2:$B$33,"")</f>
        <v/>
      </c>
      <c r="F28" s="7">
        <f>IFERROR(XLOOKUP(A28,'Critical-Path'!$A$2:$A$33,'Critical-Path'!$E$2:$E$33),0)</f>
        <v/>
      </c>
      <c r="G28" s="7">
        <f>IFERROR(XLOOKUP(B28,'Critical-Path'!$A$2:$A$33,'Critical-Path'!$F$2:$F$33),project_finish)</f>
        <v/>
      </c>
    </row>
    <row r="29">
      <c r="A29" s="7" t="inlineStr">
        <is>
          <t>T-C2-01</t>
        </is>
      </c>
      <c r="B29" s="7" t="inlineStr">
        <is>
          <t>T-C2-02</t>
        </is>
      </c>
      <c r="C29" s="7" t="n">
        <v>0</v>
      </c>
      <c r="D29" s="9">
        <f>XLOOKUP(A29,Tasks!$A$2:$A$33,Tasks!$B$2:$B$33,"")</f>
        <v/>
      </c>
      <c r="E29" s="9">
        <f>XLOOKUP(B29,Tasks!$A$2:$A$33,Tasks!$B$2:$B$33,"")</f>
        <v/>
      </c>
      <c r="F29" s="7">
        <f>IFERROR(XLOOKUP(A29,'Critical-Path'!$A$2:$A$33,'Critical-Path'!$E$2:$E$33),0)</f>
        <v/>
      </c>
      <c r="G29" s="7">
        <f>IFERROR(XLOOKUP(B29,'Critical-Path'!$A$2:$A$33,'Critical-Path'!$F$2:$F$33),project_finish)</f>
        <v/>
      </c>
    </row>
    <row r="30">
      <c r="A30" s="7" t="inlineStr">
        <is>
          <t>T-C2-02</t>
        </is>
      </c>
      <c r="B30" s="7" t="inlineStr">
        <is>
          <t>T-C2-03</t>
        </is>
      </c>
      <c r="C30" s="7" t="n">
        <v>0</v>
      </c>
      <c r="D30" s="9">
        <f>XLOOKUP(A30,Tasks!$A$2:$A$33,Tasks!$B$2:$B$33,"")</f>
        <v/>
      </c>
      <c r="E30" s="9">
        <f>XLOOKUP(B30,Tasks!$A$2:$A$33,Tasks!$B$2:$B$33,"")</f>
        <v/>
      </c>
      <c r="F30" s="7">
        <f>IFERROR(XLOOKUP(A30,'Critical-Path'!$A$2:$A$33,'Critical-Path'!$E$2:$E$33),0)</f>
        <v/>
      </c>
      <c r="G30" s="7">
        <f>IFERROR(XLOOKUP(B30,'Critical-Path'!$A$2:$A$33,'Critical-Path'!$F$2:$F$33),project_finish)</f>
        <v/>
      </c>
    </row>
    <row r="31">
      <c r="A31" s="7" t="inlineStr">
        <is>
          <t>T-C2-01</t>
        </is>
      </c>
      <c r="B31" s="7" t="inlineStr">
        <is>
          <t>T-C2-04</t>
        </is>
      </c>
      <c r="C31" s="7" t="n">
        <v>0</v>
      </c>
      <c r="D31" s="9">
        <f>XLOOKUP(A31,Tasks!$A$2:$A$33,Tasks!$B$2:$B$33,"")</f>
        <v/>
      </c>
      <c r="E31" s="9">
        <f>XLOOKUP(B31,Tasks!$A$2:$A$33,Tasks!$B$2:$B$33,"")</f>
        <v/>
      </c>
      <c r="F31" s="7">
        <f>IFERROR(XLOOKUP(A31,'Critical-Path'!$A$2:$A$33,'Critical-Path'!$E$2:$E$33),0)</f>
        <v/>
      </c>
      <c r="G31" s="7">
        <f>IFERROR(XLOOKUP(B31,'Critical-Path'!$A$2:$A$33,'Critical-Path'!$F$2:$F$33),project_finish)</f>
        <v/>
      </c>
    </row>
    <row r="32">
      <c r="A32" s="7" t="inlineStr">
        <is>
          <t>T-C2-02</t>
        </is>
      </c>
      <c r="B32" s="7" t="inlineStr">
        <is>
          <t>T-C2-05</t>
        </is>
      </c>
      <c r="C32" s="7" t="n">
        <v>0</v>
      </c>
      <c r="D32" s="9">
        <f>XLOOKUP(A32,Tasks!$A$2:$A$33,Tasks!$B$2:$B$33,"")</f>
        <v/>
      </c>
      <c r="E32" s="9">
        <f>XLOOKUP(B32,Tasks!$A$2:$A$33,Tasks!$B$2:$B$33,"")</f>
        <v/>
      </c>
      <c r="F32" s="7">
        <f>IFERROR(XLOOKUP(A32,'Critical-Path'!$A$2:$A$33,'Critical-Path'!$E$2:$E$33),0)</f>
        <v/>
      </c>
      <c r="G32" s="7">
        <f>IFERROR(XLOOKUP(B32,'Critical-Path'!$A$2:$A$33,'Critical-Path'!$F$2:$F$33),project_finish)</f>
        <v/>
      </c>
    </row>
    <row r="33">
      <c r="A33" s="7" t="inlineStr">
        <is>
          <t>T-C2-03</t>
        </is>
      </c>
      <c r="B33" s="7" t="inlineStr">
        <is>
          <t>T-C2-05</t>
        </is>
      </c>
      <c r="C33" s="7" t="n">
        <v>0</v>
      </c>
      <c r="D33" s="9">
        <f>XLOOKUP(A33,Tasks!$A$2:$A$33,Tasks!$B$2:$B$33,"")</f>
        <v/>
      </c>
      <c r="E33" s="9">
        <f>XLOOKUP(B33,Tasks!$A$2:$A$33,Tasks!$B$2:$B$33,"")</f>
        <v/>
      </c>
      <c r="F33" s="7">
        <f>IFERROR(XLOOKUP(A33,'Critical-Path'!$A$2:$A$33,'Critical-Path'!$E$2:$E$33),0)</f>
        <v/>
      </c>
      <c r="G33" s="7">
        <f>IFERROR(XLOOKUP(B33,'Critical-Path'!$A$2:$A$33,'Critical-Path'!$F$2:$F$33),project_finish)</f>
        <v/>
      </c>
    </row>
    <row r="34">
      <c r="A34" s="7" t="inlineStr">
        <is>
          <t>T-C2-04</t>
        </is>
      </c>
      <c r="B34" s="7" t="inlineStr">
        <is>
          <t>T-C2-05</t>
        </is>
      </c>
      <c r="C34" s="7" t="n">
        <v>0</v>
      </c>
      <c r="D34" s="9">
        <f>XLOOKUP(A34,Tasks!$A$2:$A$33,Tasks!$B$2:$B$33,"")</f>
        <v/>
      </c>
      <c r="E34" s="9">
        <f>XLOOKUP(B34,Tasks!$A$2:$A$33,Tasks!$B$2:$B$33,"")</f>
        <v/>
      </c>
      <c r="F34" s="7">
        <f>IFERROR(XLOOKUP(A34,'Critical-Path'!$A$2:$A$33,'Critical-Path'!$E$2:$E$33),0)</f>
        <v/>
      </c>
      <c r="G34" s="7">
        <f>IFERROR(XLOOKUP(B34,'Critical-Path'!$A$2:$A$33,'Critical-Path'!$F$2:$F$33),project_finish)</f>
        <v/>
      </c>
    </row>
    <row r="35">
      <c r="A35" s="7" t="inlineStr">
        <is>
          <t>T-SUB-01</t>
        </is>
      </c>
      <c r="B35" s="7" t="inlineStr">
        <is>
          <t>T-SUB-02</t>
        </is>
      </c>
      <c r="C35" s="7" t="n">
        <v>0</v>
      </c>
      <c r="D35" s="9">
        <f>XLOOKUP(A35,Tasks!$A$2:$A$33,Tasks!$B$2:$B$33,"")</f>
        <v/>
      </c>
      <c r="E35" s="9">
        <f>XLOOKUP(B35,Tasks!$A$2:$A$33,Tasks!$B$2:$B$33,"")</f>
        <v/>
      </c>
      <c r="F35" s="7">
        <f>IFERROR(XLOOKUP(A35,'Critical-Path'!$A$2:$A$33,'Critical-Path'!$E$2:$E$33),0)</f>
        <v/>
      </c>
      <c r="G35" s="7">
        <f>IFERROR(XLOOKUP(B35,'Critical-Path'!$A$2:$A$33,'Critical-Path'!$F$2:$F$33),project_finish)</f>
        <v/>
      </c>
    </row>
    <row r="36">
      <c r="A36" s="7" t="inlineStr">
        <is>
          <t>T-C2-05</t>
        </is>
      </c>
      <c r="B36" s="7" t="inlineStr">
        <is>
          <t>T-SUB-02</t>
        </is>
      </c>
      <c r="C36" s="7" t="n">
        <v>0</v>
      </c>
      <c r="D36" s="9">
        <f>XLOOKUP(A36,Tasks!$A$2:$A$33,Tasks!$B$2:$B$33,"")</f>
        <v/>
      </c>
      <c r="E36" s="9">
        <f>XLOOKUP(B36,Tasks!$A$2:$A$33,Tasks!$B$2:$B$33,"")</f>
        <v/>
      </c>
      <c r="F36" s="7">
        <f>IFERROR(XLOOKUP(A36,'Critical-Path'!$A$2:$A$33,'Critical-Path'!$E$2:$E$33),0)</f>
        <v/>
      </c>
      <c r="G36" s="7">
        <f>IFERROR(XLOOKUP(B36,'Critical-Path'!$A$2:$A$33,'Critical-Path'!$F$2:$F$33),project_finish)</f>
        <v/>
      </c>
    </row>
    <row r="37">
      <c r="A37" s="7" t="inlineStr">
        <is>
          <t>T-C1-09</t>
        </is>
      </c>
      <c r="B37" s="7" t="inlineStr">
        <is>
          <t>T-SUB-02</t>
        </is>
      </c>
      <c r="C37" s="7" t="n">
        <v>0</v>
      </c>
      <c r="D37" s="9">
        <f>XLOOKUP(A37,Tasks!$A$2:$A$33,Tasks!$B$2:$B$33,"")</f>
        <v/>
      </c>
      <c r="E37" s="9">
        <f>XLOOKUP(B37,Tasks!$A$2:$A$33,Tasks!$B$2:$B$33,"")</f>
        <v/>
      </c>
      <c r="F37" s="7">
        <f>IFERROR(XLOOKUP(A37,'Critical-Path'!$A$2:$A$33,'Critical-Path'!$E$2:$E$33),0)</f>
        <v/>
      </c>
      <c r="G37" s="7">
        <f>IFERROR(XLOOKUP(B37,'Critical-Path'!$A$2:$A$33,'Critical-Path'!$F$2:$F$33),project_finish)</f>
        <v/>
      </c>
    </row>
    <row r="38">
      <c r="A38" s="7" t="inlineStr">
        <is>
          <t>T-SUB-02</t>
        </is>
      </c>
      <c r="B38" s="7" t="inlineStr">
        <is>
          <t>T-SUB-03</t>
        </is>
      </c>
      <c r="C38" s="7" t="n">
        <v>0</v>
      </c>
      <c r="D38" s="9">
        <f>XLOOKUP(A38,Tasks!$A$2:$A$33,Tasks!$B$2:$B$33,"")</f>
        <v/>
      </c>
      <c r="E38" s="9">
        <f>XLOOKUP(B38,Tasks!$A$2:$A$33,Tasks!$B$2:$B$33,"")</f>
        <v/>
      </c>
      <c r="F38" s="7">
        <f>IFERROR(XLOOKUP(A38,'Critical-Path'!$A$2:$A$33,'Critical-Path'!$E$2:$E$33),0)</f>
        <v/>
      </c>
      <c r="G38" s="7">
        <f>IFERROR(XLOOKUP(B38,'Critical-Path'!$A$2:$A$33,'Critical-Path'!$F$2:$F$33),project_finish)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45" customWidth="1" min="4" max="4"/>
    <col width="10" customWidth="1" min="5" max="5"/>
    <col width="10" customWidth="1" min="6" max="6"/>
    <col width="45" customWidth="1" min="7" max="7"/>
    <col width="10" customWidth="1" min="8" max="8"/>
    <col width="23" customWidth="1" min="9" max="9"/>
    <col width="10" customWidth="1" min="10" max="10"/>
    <col width="10" customWidth="1" min="11" max="11"/>
    <col width="24" customWidth="1" min="12" max="12"/>
  </cols>
  <sheetData>
    <row r="1">
      <c r="A1" s="20" t="inlineStr">
        <is>
          <t>task_id</t>
        </is>
      </c>
      <c r="B1" s="20" t="inlineStr">
        <is>
          <t>name_ar</t>
        </is>
      </c>
      <c r="C1" s="20" t="inlineStr">
        <is>
          <t>duration</t>
        </is>
      </c>
      <c r="D1" s="20" t="inlineStr">
        <is>
          <t>ES</t>
        </is>
      </c>
      <c r="E1" s="20" t="inlineStr">
        <is>
          <t>EF</t>
        </is>
      </c>
      <c r="F1" s="20" t="inlineStr">
        <is>
          <t>LS</t>
        </is>
      </c>
      <c r="G1" s="20" t="inlineStr">
        <is>
          <t>LF</t>
        </is>
      </c>
      <c r="H1" s="20" t="inlineStr">
        <is>
          <t>slack</t>
        </is>
      </c>
      <c r="I1" s="20" t="inlineStr">
        <is>
          <t>is_critical</t>
        </is>
      </c>
      <c r="L1" s="23" t="inlineStr">
        <is>
          <t>project_finish</t>
        </is>
      </c>
    </row>
    <row r="2">
      <c r="A2" s="7">
        <f>Tasks!A2</f>
        <v/>
      </c>
      <c r="B2" s="9">
        <f>Tasks!B2</f>
        <v/>
      </c>
      <c r="C2" s="7">
        <f>Tasks!G2</f>
        <v/>
      </c>
      <c r="D2" s="7">
        <f>IFERROR(MAXIFS(Dependencies!$F$2:$F$38,Dependencies!$B$2:$B$38,A2),0)</f>
        <v/>
      </c>
      <c r="E2" s="7">
        <f>D2+C2</f>
        <v/>
      </c>
      <c r="F2" s="7">
        <f>G2-C2</f>
        <v/>
      </c>
      <c r="G2" s="7">
        <f>IFERROR(MINIFS(Dependencies!$G$2:$G$38,Dependencies!$A$2:$A$38,A2),project_finish)</f>
        <v/>
      </c>
      <c r="H2" s="7">
        <f>F2-D2</f>
        <v/>
      </c>
      <c r="I2" s="7">
        <f>IF(H2=0,"YES","NO")</f>
        <v/>
      </c>
      <c r="L2" s="23">
        <f>MAX(E2:E33)</f>
        <v/>
      </c>
    </row>
    <row r="3">
      <c r="A3" s="7">
        <f>Tasks!A3</f>
        <v/>
      </c>
      <c r="B3" s="9">
        <f>Tasks!B3</f>
        <v/>
      </c>
      <c r="C3" s="7">
        <f>Tasks!G3</f>
        <v/>
      </c>
      <c r="D3" s="7">
        <f>IFERROR(MAXIFS(Dependencies!$F$2:$F$38,Dependencies!$B$2:$B$38,A3),0)</f>
        <v/>
      </c>
      <c r="E3" s="7">
        <f>D3+C3</f>
        <v/>
      </c>
      <c r="F3" s="7">
        <f>G3-C3</f>
        <v/>
      </c>
      <c r="G3" s="7">
        <f>IFERROR(MINIFS(Dependencies!$G$2:$G$38,Dependencies!$A$2:$A$38,A3),project_finish)</f>
        <v/>
      </c>
      <c r="H3" s="7">
        <f>F3-D3</f>
        <v/>
      </c>
      <c r="I3" s="7">
        <f>IF(H3=0,"YES","NO")</f>
        <v/>
      </c>
    </row>
    <row r="4">
      <c r="A4" s="7">
        <f>Tasks!A4</f>
        <v/>
      </c>
      <c r="B4" s="9">
        <f>Tasks!B4</f>
        <v/>
      </c>
      <c r="C4" s="7">
        <f>Tasks!G4</f>
        <v/>
      </c>
      <c r="D4" s="7">
        <f>IFERROR(MAXIFS(Dependencies!$F$2:$F$38,Dependencies!$B$2:$B$38,A4),0)</f>
        <v/>
      </c>
      <c r="E4" s="7">
        <f>D4+C4</f>
        <v/>
      </c>
      <c r="F4" s="7">
        <f>G4-C4</f>
        <v/>
      </c>
      <c r="G4" s="7">
        <f>IFERROR(MINIFS(Dependencies!$G$2:$G$38,Dependencies!$A$2:$A$38,A4),project_finish)</f>
        <v/>
      </c>
      <c r="H4" s="7">
        <f>F4-D4</f>
        <v/>
      </c>
      <c r="I4" s="7">
        <f>IF(H4=0,"YES","NO")</f>
        <v/>
      </c>
      <c r="L4" s="23" t="inlineStr">
        <is>
          <t>critical_count</t>
        </is>
      </c>
    </row>
    <row r="5">
      <c r="A5" s="7">
        <f>Tasks!A5</f>
        <v/>
      </c>
      <c r="B5" s="9">
        <f>Tasks!B5</f>
        <v/>
      </c>
      <c r="C5" s="7">
        <f>Tasks!G5</f>
        <v/>
      </c>
      <c r="D5" s="7">
        <f>IFERROR(MAXIFS(Dependencies!$F$2:$F$38,Dependencies!$B$2:$B$38,A5),0)</f>
        <v/>
      </c>
      <c r="E5" s="7">
        <f>D5+C5</f>
        <v/>
      </c>
      <c r="F5" s="7">
        <f>G5-C5</f>
        <v/>
      </c>
      <c r="G5" s="7">
        <f>IFERROR(MINIFS(Dependencies!$G$2:$G$38,Dependencies!$A$2:$A$38,A5),project_finish)</f>
        <v/>
      </c>
      <c r="H5" s="7">
        <f>F5-D5</f>
        <v/>
      </c>
      <c r="I5" s="7">
        <f>IF(H5=0,"YES","NO")</f>
        <v/>
      </c>
      <c r="L5" s="23">
        <f>COUNTIF(I2:I33,"YES")</f>
        <v/>
      </c>
    </row>
    <row r="6">
      <c r="A6" s="7">
        <f>Tasks!A6</f>
        <v/>
      </c>
      <c r="B6" s="9">
        <f>Tasks!B6</f>
        <v/>
      </c>
      <c r="C6" s="7">
        <f>Tasks!G6</f>
        <v/>
      </c>
      <c r="D6" s="7">
        <f>IFERROR(MAXIFS(Dependencies!$F$2:$F$38,Dependencies!$B$2:$B$38,A6),0)</f>
        <v/>
      </c>
      <c r="E6" s="7">
        <f>D6+C6</f>
        <v/>
      </c>
      <c r="F6" s="7">
        <f>G6-C6</f>
        <v/>
      </c>
      <c r="G6" s="7">
        <f>IFERROR(MINIFS(Dependencies!$G$2:$G$38,Dependencies!$A$2:$A$38,A6),project_finish)</f>
        <v/>
      </c>
      <c r="H6" s="7">
        <f>F6-D6</f>
        <v/>
      </c>
      <c r="I6" s="7">
        <f>IF(H6=0,"YES","NO")</f>
        <v/>
      </c>
    </row>
    <row r="7">
      <c r="A7" s="7">
        <f>Tasks!A7</f>
        <v/>
      </c>
      <c r="B7" s="9">
        <f>Tasks!B7</f>
        <v/>
      </c>
      <c r="C7" s="7">
        <f>Tasks!G7</f>
        <v/>
      </c>
      <c r="D7" s="7">
        <f>IFERROR(MAXIFS(Dependencies!$F$2:$F$38,Dependencies!$B$2:$B$38,A7),0)</f>
        <v/>
      </c>
      <c r="E7" s="7">
        <f>D7+C7</f>
        <v/>
      </c>
      <c r="F7" s="7">
        <f>G7-C7</f>
        <v/>
      </c>
      <c r="G7" s="7">
        <f>IFERROR(MINIFS(Dependencies!$G$2:$G$38,Dependencies!$A$2:$A$38,A7),project_finish)</f>
        <v/>
      </c>
      <c r="H7" s="7">
        <f>F7-D7</f>
        <v/>
      </c>
      <c r="I7" s="7">
        <f>IF(H7=0,"YES","NO")</f>
        <v/>
      </c>
    </row>
    <row r="8">
      <c r="A8" s="7">
        <f>Tasks!A8</f>
        <v/>
      </c>
      <c r="B8" s="9">
        <f>Tasks!B8</f>
        <v/>
      </c>
      <c r="C8" s="7">
        <f>Tasks!G8</f>
        <v/>
      </c>
      <c r="D8" s="7">
        <f>IFERROR(MAXIFS(Dependencies!$F$2:$F$38,Dependencies!$B$2:$B$38,A8),0)</f>
        <v/>
      </c>
      <c r="E8" s="7">
        <f>D8+C8</f>
        <v/>
      </c>
      <c r="F8" s="7">
        <f>G8-C8</f>
        <v/>
      </c>
      <c r="G8" s="7">
        <f>IFERROR(MINIFS(Dependencies!$G$2:$G$38,Dependencies!$A$2:$A$38,A8),project_finish)</f>
        <v/>
      </c>
      <c r="H8" s="7">
        <f>F8-D8</f>
        <v/>
      </c>
      <c r="I8" s="7">
        <f>IF(H8=0,"YES","NO")</f>
        <v/>
      </c>
    </row>
    <row r="9">
      <c r="A9" s="7">
        <f>Tasks!A9</f>
        <v/>
      </c>
      <c r="B9" s="9">
        <f>Tasks!B9</f>
        <v/>
      </c>
      <c r="C9" s="7">
        <f>Tasks!G9</f>
        <v/>
      </c>
      <c r="D9" s="7">
        <f>IFERROR(MAXIFS(Dependencies!$F$2:$F$38,Dependencies!$B$2:$B$38,A9),0)</f>
        <v/>
      </c>
      <c r="E9" s="7">
        <f>D9+C9</f>
        <v/>
      </c>
      <c r="F9" s="7">
        <f>G9-C9</f>
        <v/>
      </c>
      <c r="G9" s="7">
        <f>IFERROR(MINIFS(Dependencies!$G$2:$G$38,Dependencies!$A$2:$A$38,A9),project_finish)</f>
        <v/>
      </c>
      <c r="H9" s="7">
        <f>F9-D9</f>
        <v/>
      </c>
      <c r="I9" s="7">
        <f>IF(H9=0,"YES","NO")</f>
        <v/>
      </c>
    </row>
    <row r="10">
      <c r="A10" s="7">
        <f>Tasks!A10</f>
        <v/>
      </c>
      <c r="B10" s="9">
        <f>Tasks!B10</f>
        <v/>
      </c>
      <c r="C10" s="7">
        <f>Tasks!G10</f>
        <v/>
      </c>
      <c r="D10" s="7">
        <f>IFERROR(MAXIFS(Dependencies!$F$2:$F$38,Dependencies!$B$2:$B$38,A10),0)</f>
        <v/>
      </c>
      <c r="E10" s="7">
        <f>D10+C10</f>
        <v/>
      </c>
      <c r="F10" s="7">
        <f>G10-C10</f>
        <v/>
      </c>
      <c r="G10" s="7">
        <f>IFERROR(MINIFS(Dependencies!$G$2:$G$38,Dependencies!$A$2:$A$38,A10),project_finish)</f>
        <v/>
      </c>
      <c r="H10" s="7">
        <f>F10-D10</f>
        <v/>
      </c>
      <c r="I10" s="7">
        <f>IF(H10=0,"YES","NO")</f>
        <v/>
      </c>
    </row>
    <row r="11">
      <c r="A11" s="7">
        <f>Tasks!A11</f>
        <v/>
      </c>
      <c r="B11" s="9">
        <f>Tasks!B11</f>
        <v/>
      </c>
      <c r="C11" s="7">
        <f>Tasks!G11</f>
        <v/>
      </c>
      <c r="D11" s="7">
        <f>IFERROR(MAXIFS(Dependencies!$F$2:$F$38,Dependencies!$B$2:$B$38,A11),0)</f>
        <v/>
      </c>
      <c r="E11" s="7">
        <f>D11+C11</f>
        <v/>
      </c>
      <c r="F11" s="7">
        <f>G11-C11</f>
        <v/>
      </c>
      <c r="G11" s="7">
        <f>IFERROR(MINIFS(Dependencies!$G$2:$G$38,Dependencies!$A$2:$A$38,A11),project_finish)</f>
        <v/>
      </c>
      <c r="H11" s="7">
        <f>F11-D11</f>
        <v/>
      </c>
      <c r="I11" s="7">
        <f>IF(H11=0,"YES","NO")</f>
        <v/>
      </c>
    </row>
    <row r="12">
      <c r="A12" s="7">
        <f>Tasks!A12</f>
        <v/>
      </c>
      <c r="B12" s="9">
        <f>Tasks!B12</f>
        <v/>
      </c>
      <c r="C12" s="7">
        <f>Tasks!G12</f>
        <v/>
      </c>
      <c r="D12" s="7">
        <f>IFERROR(MAXIFS(Dependencies!$F$2:$F$38,Dependencies!$B$2:$B$38,A12),0)</f>
        <v/>
      </c>
      <c r="E12" s="7">
        <f>D12+C12</f>
        <v/>
      </c>
      <c r="F12" s="7">
        <f>G12-C12</f>
        <v/>
      </c>
      <c r="G12" s="7">
        <f>IFERROR(MINIFS(Dependencies!$G$2:$G$38,Dependencies!$A$2:$A$38,A12),project_finish)</f>
        <v/>
      </c>
      <c r="H12" s="7">
        <f>F12-D12</f>
        <v/>
      </c>
      <c r="I12" s="7">
        <f>IF(H12=0,"YES","NO")</f>
        <v/>
      </c>
    </row>
    <row r="13">
      <c r="A13" s="7">
        <f>Tasks!A13</f>
        <v/>
      </c>
      <c r="B13" s="9">
        <f>Tasks!B13</f>
        <v/>
      </c>
      <c r="C13" s="7">
        <f>Tasks!G13</f>
        <v/>
      </c>
      <c r="D13" s="7">
        <f>IFERROR(MAXIFS(Dependencies!$F$2:$F$38,Dependencies!$B$2:$B$38,A13),0)</f>
        <v/>
      </c>
      <c r="E13" s="7">
        <f>D13+C13</f>
        <v/>
      </c>
      <c r="F13" s="7">
        <f>G13-C13</f>
        <v/>
      </c>
      <c r="G13" s="7">
        <f>IFERROR(MINIFS(Dependencies!$G$2:$G$38,Dependencies!$A$2:$A$38,A13),project_finish)</f>
        <v/>
      </c>
      <c r="H13" s="7">
        <f>F13-D13</f>
        <v/>
      </c>
      <c r="I13" s="7">
        <f>IF(H13=0,"YES","NO")</f>
        <v/>
      </c>
    </row>
    <row r="14">
      <c r="A14" s="7">
        <f>Tasks!A14</f>
        <v/>
      </c>
      <c r="B14" s="9">
        <f>Tasks!B14</f>
        <v/>
      </c>
      <c r="C14" s="7">
        <f>Tasks!G14</f>
        <v/>
      </c>
      <c r="D14" s="7">
        <f>IFERROR(MAXIFS(Dependencies!$F$2:$F$38,Dependencies!$B$2:$B$38,A14),0)</f>
        <v/>
      </c>
      <c r="E14" s="7">
        <f>D14+C14</f>
        <v/>
      </c>
      <c r="F14" s="7">
        <f>G14-C14</f>
        <v/>
      </c>
      <c r="G14" s="7">
        <f>IFERROR(MINIFS(Dependencies!$G$2:$G$38,Dependencies!$A$2:$A$38,A14),project_finish)</f>
        <v/>
      </c>
      <c r="H14" s="7">
        <f>F14-D14</f>
        <v/>
      </c>
      <c r="I14" s="7">
        <f>IF(H14=0,"YES","NO")</f>
        <v/>
      </c>
    </row>
    <row r="15">
      <c r="A15" s="7">
        <f>Tasks!A15</f>
        <v/>
      </c>
      <c r="B15" s="9">
        <f>Tasks!B15</f>
        <v/>
      </c>
      <c r="C15" s="7">
        <f>Tasks!G15</f>
        <v/>
      </c>
      <c r="D15" s="7">
        <f>IFERROR(MAXIFS(Dependencies!$F$2:$F$38,Dependencies!$B$2:$B$38,A15),0)</f>
        <v/>
      </c>
      <c r="E15" s="7">
        <f>D15+C15</f>
        <v/>
      </c>
      <c r="F15" s="7">
        <f>G15-C15</f>
        <v/>
      </c>
      <c r="G15" s="7">
        <f>IFERROR(MINIFS(Dependencies!$G$2:$G$38,Dependencies!$A$2:$A$38,A15),project_finish)</f>
        <v/>
      </c>
      <c r="H15" s="7">
        <f>F15-D15</f>
        <v/>
      </c>
      <c r="I15" s="7">
        <f>IF(H15=0,"YES","NO")</f>
        <v/>
      </c>
    </row>
    <row r="16">
      <c r="A16" s="7">
        <f>Tasks!A16</f>
        <v/>
      </c>
      <c r="B16" s="9">
        <f>Tasks!B16</f>
        <v/>
      </c>
      <c r="C16" s="7">
        <f>Tasks!G16</f>
        <v/>
      </c>
      <c r="D16" s="7">
        <f>IFERROR(MAXIFS(Dependencies!$F$2:$F$38,Dependencies!$B$2:$B$38,A16),0)</f>
        <v/>
      </c>
      <c r="E16" s="7">
        <f>D16+C16</f>
        <v/>
      </c>
      <c r="F16" s="7">
        <f>G16-C16</f>
        <v/>
      </c>
      <c r="G16" s="7">
        <f>IFERROR(MINIFS(Dependencies!$G$2:$G$38,Dependencies!$A$2:$A$38,A16),project_finish)</f>
        <v/>
      </c>
      <c r="H16" s="7">
        <f>F16-D16</f>
        <v/>
      </c>
      <c r="I16" s="7">
        <f>IF(H16=0,"YES","NO")</f>
        <v/>
      </c>
    </row>
    <row r="17">
      <c r="A17" s="7">
        <f>Tasks!A17</f>
        <v/>
      </c>
      <c r="B17" s="9">
        <f>Tasks!B17</f>
        <v/>
      </c>
      <c r="C17" s="7">
        <f>Tasks!G17</f>
        <v/>
      </c>
      <c r="D17" s="7">
        <f>IFERROR(MAXIFS(Dependencies!$F$2:$F$38,Dependencies!$B$2:$B$38,A17),0)</f>
        <v/>
      </c>
      <c r="E17" s="7">
        <f>D17+C17</f>
        <v/>
      </c>
      <c r="F17" s="7">
        <f>G17-C17</f>
        <v/>
      </c>
      <c r="G17" s="7">
        <f>IFERROR(MINIFS(Dependencies!$G$2:$G$38,Dependencies!$A$2:$A$38,A17),project_finish)</f>
        <v/>
      </c>
      <c r="H17" s="7">
        <f>F17-D17</f>
        <v/>
      </c>
      <c r="I17" s="7">
        <f>IF(H17=0,"YES","NO")</f>
        <v/>
      </c>
    </row>
    <row r="18">
      <c r="A18" s="7">
        <f>Tasks!A18</f>
        <v/>
      </c>
      <c r="B18" s="9">
        <f>Tasks!B18</f>
        <v/>
      </c>
      <c r="C18" s="7">
        <f>Tasks!G18</f>
        <v/>
      </c>
      <c r="D18" s="7">
        <f>IFERROR(MAXIFS(Dependencies!$F$2:$F$38,Dependencies!$B$2:$B$38,A18),0)</f>
        <v/>
      </c>
      <c r="E18" s="7">
        <f>D18+C18</f>
        <v/>
      </c>
      <c r="F18" s="7">
        <f>G18-C18</f>
        <v/>
      </c>
      <c r="G18" s="7">
        <f>IFERROR(MINIFS(Dependencies!$G$2:$G$38,Dependencies!$A$2:$A$38,A18),project_finish)</f>
        <v/>
      </c>
      <c r="H18" s="7">
        <f>F18-D18</f>
        <v/>
      </c>
      <c r="I18" s="7">
        <f>IF(H18=0,"YES","NO")</f>
        <v/>
      </c>
    </row>
    <row r="19">
      <c r="A19" s="7">
        <f>Tasks!A19</f>
        <v/>
      </c>
      <c r="B19" s="9">
        <f>Tasks!B19</f>
        <v/>
      </c>
      <c r="C19" s="7">
        <f>Tasks!G19</f>
        <v/>
      </c>
      <c r="D19" s="7">
        <f>IFERROR(MAXIFS(Dependencies!$F$2:$F$38,Dependencies!$B$2:$B$38,A19),0)</f>
        <v/>
      </c>
      <c r="E19" s="7">
        <f>D19+C19</f>
        <v/>
      </c>
      <c r="F19" s="7">
        <f>G19-C19</f>
        <v/>
      </c>
      <c r="G19" s="7">
        <f>IFERROR(MINIFS(Dependencies!$G$2:$G$38,Dependencies!$A$2:$A$38,A19),project_finish)</f>
        <v/>
      </c>
      <c r="H19" s="7">
        <f>F19-D19</f>
        <v/>
      </c>
      <c r="I19" s="7">
        <f>IF(H19=0,"YES","NO")</f>
        <v/>
      </c>
    </row>
    <row r="20">
      <c r="A20" s="7">
        <f>Tasks!A20</f>
        <v/>
      </c>
      <c r="B20" s="9">
        <f>Tasks!B20</f>
        <v/>
      </c>
      <c r="C20" s="7">
        <f>Tasks!G20</f>
        <v/>
      </c>
      <c r="D20" s="7">
        <f>IFERROR(MAXIFS(Dependencies!$F$2:$F$38,Dependencies!$B$2:$B$38,A20),0)</f>
        <v/>
      </c>
      <c r="E20" s="7">
        <f>D20+C20</f>
        <v/>
      </c>
      <c r="F20" s="7">
        <f>G20-C20</f>
        <v/>
      </c>
      <c r="G20" s="7">
        <f>IFERROR(MINIFS(Dependencies!$G$2:$G$38,Dependencies!$A$2:$A$38,A20),project_finish)</f>
        <v/>
      </c>
      <c r="H20" s="7">
        <f>F20-D20</f>
        <v/>
      </c>
      <c r="I20" s="7">
        <f>IF(H20=0,"YES","NO")</f>
        <v/>
      </c>
    </row>
    <row r="21">
      <c r="A21" s="7">
        <f>Tasks!A21</f>
        <v/>
      </c>
      <c r="B21" s="9">
        <f>Tasks!B21</f>
        <v/>
      </c>
      <c r="C21" s="7">
        <f>Tasks!G21</f>
        <v/>
      </c>
      <c r="D21" s="7">
        <f>IFERROR(MAXIFS(Dependencies!$F$2:$F$38,Dependencies!$B$2:$B$38,A21),0)</f>
        <v/>
      </c>
      <c r="E21" s="7">
        <f>D21+C21</f>
        <v/>
      </c>
      <c r="F21" s="7">
        <f>G21-C21</f>
        <v/>
      </c>
      <c r="G21" s="7">
        <f>IFERROR(MINIFS(Dependencies!$G$2:$G$38,Dependencies!$A$2:$A$38,A21),project_finish)</f>
        <v/>
      </c>
      <c r="H21" s="7">
        <f>F21-D21</f>
        <v/>
      </c>
      <c r="I21" s="7">
        <f>IF(H21=0,"YES","NO")</f>
        <v/>
      </c>
    </row>
    <row r="22">
      <c r="A22" s="7">
        <f>Tasks!A22</f>
        <v/>
      </c>
      <c r="B22" s="9">
        <f>Tasks!B22</f>
        <v/>
      </c>
      <c r="C22" s="7">
        <f>Tasks!G22</f>
        <v/>
      </c>
      <c r="D22" s="7">
        <f>IFERROR(MAXIFS(Dependencies!$F$2:$F$38,Dependencies!$B$2:$B$38,A22),0)</f>
        <v/>
      </c>
      <c r="E22" s="7">
        <f>D22+C22</f>
        <v/>
      </c>
      <c r="F22" s="7">
        <f>G22-C22</f>
        <v/>
      </c>
      <c r="G22" s="7">
        <f>IFERROR(MINIFS(Dependencies!$G$2:$G$38,Dependencies!$A$2:$A$38,A22),project_finish)</f>
        <v/>
      </c>
      <c r="H22" s="7">
        <f>F22-D22</f>
        <v/>
      </c>
      <c r="I22" s="7">
        <f>IF(H22=0,"YES","NO")</f>
        <v/>
      </c>
    </row>
    <row r="23">
      <c r="A23" s="7">
        <f>Tasks!A23</f>
        <v/>
      </c>
      <c r="B23" s="9">
        <f>Tasks!B23</f>
        <v/>
      </c>
      <c r="C23" s="7">
        <f>Tasks!G23</f>
        <v/>
      </c>
      <c r="D23" s="7">
        <f>IFERROR(MAXIFS(Dependencies!$F$2:$F$38,Dependencies!$B$2:$B$38,A23),0)</f>
        <v/>
      </c>
      <c r="E23" s="7">
        <f>D23+C23</f>
        <v/>
      </c>
      <c r="F23" s="7">
        <f>G23-C23</f>
        <v/>
      </c>
      <c r="G23" s="7">
        <f>IFERROR(MINIFS(Dependencies!$G$2:$G$38,Dependencies!$A$2:$A$38,A23),project_finish)</f>
        <v/>
      </c>
      <c r="H23" s="7">
        <f>F23-D23</f>
        <v/>
      </c>
      <c r="I23" s="7">
        <f>IF(H23=0,"YES","NO")</f>
        <v/>
      </c>
    </row>
    <row r="24">
      <c r="A24" s="7">
        <f>Tasks!A24</f>
        <v/>
      </c>
      <c r="B24" s="9">
        <f>Tasks!B24</f>
        <v/>
      </c>
      <c r="C24" s="7">
        <f>Tasks!G24</f>
        <v/>
      </c>
      <c r="D24" s="7">
        <f>IFERROR(MAXIFS(Dependencies!$F$2:$F$38,Dependencies!$B$2:$B$38,A24),0)</f>
        <v/>
      </c>
      <c r="E24" s="7">
        <f>D24+C24</f>
        <v/>
      </c>
      <c r="F24" s="7">
        <f>G24-C24</f>
        <v/>
      </c>
      <c r="G24" s="7">
        <f>IFERROR(MINIFS(Dependencies!$G$2:$G$38,Dependencies!$A$2:$A$38,A24),project_finish)</f>
        <v/>
      </c>
      <c r="H24" s="7">
        <f>F24-D24</f>
        <v/>
      </c>
      <c r="I24" s="7">
        <f>IF(H24=0,"YES","NO")</f>
        <v/>
      </c>
    </row>
    <row r="25">
      <c r="A25" s="7">
        <f>Tasks!A25</f>
        <v/>
      </c>
      <c r="B25" s="9">
        <f>Tasks!B25</f>
        <v/>
      </c>
      <c r="C25" s="7">
        <f>Tasks!G25</f>
        <v/>
      </c>
      <c r="D25" s="7">
        <f>IFERROR(MAXIFS(Dependencies!$F$2:$F$38,Dependencies!$B$2:$B$38,A25),0)</f>
        <v/>
      </c>
      <c r="E25" s="7">
        <f>D25+C25</f>
        <v/>
      </c>
      <c r="F25" s="7">
        <f>G25-C25</f>
        <v/>
      </c>
      <c r="G25" s="7">
        <f>IFERROR(MINIFS(Dependencies!$G$2:$G$38,Dependencies!$A$2:$A$38,A25),project_finish)</f>
        <v/>
      </c>
      <c r="H25" s="7">
        <f>F25-D25</f>
        <v/>
      </c>
      <c r="I25" s="7">
        <f>IF(H25=0,"YES","NO")</f>
        <v/>
      </c>
    </row>
    <row r="26">
      <c r="A26" s="7">
        <f>Tasks!A26</f>
        <v/>
      </c>
      <c r="B26" s="9">
        <f>Tasks!B26</f>
        <v/>
      </c>
      <c r="C26" s="7">
        <f>Tasks!G26</f>
        <v/>
      </c>
      <c r="D26" s="7">
        <f>IFERROR(MAXIFS(Dependencies!$F$2:$F$38,Dependencies!$B$2:$B$38,A26),0)</f>
        <v/>
      </c>
      <c r="E26" s="7">
        <f>D26+C26</f>
        <v/>
      </c>
      <c r="F26" s="7">
        <f>G26-C26</f>
        <v/>
      </c>
      <c r="G26" s="7">
        <f>IFERROR(MINIFS(Dependencies!$G$2:$G$38,Dependencies!$A$2:$A$38,A26),project_finish)</f>
        <v/>
      </c>
      <c r="H26" s="7">
        <f>F26-D26</f>
        <v/>
      </c>
      <c r="I26" s="7">
        <f>IF(H26=0,"YES","NO")</f>
        <v/>
      </c>
    </row>
    <row r="27">
      <c r="A27" s="7">
        <f>Tasks!A27</f>
        <v/>
      </c>
      <c r="B27" s="9">
        <f>Tasks!B27</f>
        <v/>
      </c>
      <c r="C27" s="7">
        <f>Tasks!G27</f>
        <v/>
      </c>
      <c r="D27" s="7">
        <f>IFERROR(MAXIFS(Dependencies!$F$2:$F$38,Dependencies!$B$2:$B$38,A27),0)</f>
        <v/>
      </c>
      <c r="E27" s="7">
        <f>D27+C27</f>
        <v/>
      </c>
      <c r="F27" s="7">
        <f>G27-C27</f>
        <v/>
      </c>
      <c r="G27" s="7">
        <f>IFERROR(MINIFS(Dependencies!$G$2:$G$38,Dependencies!$A$2:$A$38,A27),project_finish)</f>
        <v/>
      </c>
      <c r="H27" s="7">
        <f>F27-D27</f>
        <v/>
      </c>
      <c r="I27" s="7">
        <f>IF(H27=0,"YES","NO")</f>
        <v/>
      </c>
    </row>
    <row r="28">
      <c r="A28" s="7">
        <f>Tasks!A28</f>
        <v/>
      </c>
      <c r="B28" s="9">
        <f>Tasks!B28</f>
        <v/>
      </c>
      <c r="C28" s="7">
        <f>Tasks!G28</f>
        <v/>
      </c>
      <c r="D28" s="7">
        <f>IFERROR(MAXIFS(Dependencies!$F$2:$F$38,Dependencies!$B$2:$B$38,A28),0)</f>
        <v/>
      </c>
      <c r="E28" s="7">
        <f>D28+C28</f>
        <v/>
      </c>
      <c r="F28" s="7">
        <f>G28-C28</f>
        <v/>
      </c>
      <c r="G28" s="7">
        <f>IFERROR(MINIFS(Dependencies!$G$2:$G$38,Dependencies!$A$2:$A$38,A28),project_finish)</f>
        <v/>
      </c>
      <c r="H28" s="7">
        <f>F28-D28</f>
        <v/>
      </c>
      <c r="I28" s="7">
        <f>IF(H28=0,"YES","NO")</f>
        <v/>
      </c>
    </row>
    <row r="29">
      <c r="A29" s="7">
        <f>Tasks!A29</f>
        <v/>
      </c>
      <c r="B29" s="9">
        <f>Tasks!B29</f>
        <v/>
      </c>
      <c r="C29" s="7">
        <f>Tasks!G29</f>
        <v/>
      </c>
      <c r="D29" s="7">
        <f>IFERROR(MAXIFS(Dependencies!$F$2:$F$38,Dependencies!$B$2:$B$38,A29),0)</f>
        <v/>
      </c>
      <c r="E29" s="7">
        <f>D29+C29</f>
        <v/>
      </c>
      <c r="F29" s="7">
        <f>G29-C29</f>
        <v/>
      </c>
      <c r="G29" s="7">
        <f>IFERROR(MINIFS(Dependencies!$G$2:$G$38,Dependencies!$A$2:$A$38,A29),project_finish)</f>
        <v/>
      </c>
      <c r="H29" s="7">
        <f>F29-D29</f>
        <v/>
      </c>
      <c r="I29" s="7">
        <f>IF(H29=0,"YES","NO")</f>
        <v/>
      </c>
    </row>
    <row r="30">
      <c r="A30" s="7">
        <f>Tasks!A30</f>
        <v/>
      </c>
      <c r="B30" s="9">
        <f>Tasks!B30</f>
        <v/>
      </c>
      <c r="C30" s="7">
        <f>Tasks!G30</f>
        <v/>
      </c>
      <c r="D30" s="7">
        <f>IFERROR(MAXIFS(Dependencies!$F$2:$F$38,Dependencies!$B$2:$B$38,A30),0)</f>
        <v/>
      </c>
      <c r="E30" s="7">
        <f>D30+C30</f>
        <v/>
      </c>
      <c r="F30" s="7">
        <f>G30-C30</f>
        <v/>
      </c>
      <c r="G30" s="7">
        <f>IFERROR(MINIFS(Dependencies!$G$2:$G$38,Dependencies!$A$2:$A$38,A30),project_finish)</f>
        <v/>
      </c>
      <c r="H30" s="7">
        <f>F30-D30</f>
        <v/>
      </c>
      <c r="I30" s="7">
        <f>IF(H30=0,"YES","NO")</f>
        <v/>
      </c>
    </row>
    <row r="31">
      <c r="A31" s="7">
        <f>Tasks!A31</f>
        <v/>
      </c>
      <c r="B31" s="9">
        <f>Tasks!B31</f>
        <v/>
      </c>
      <c r="C31" s="7">
        <f>Tasks!G31</f>
        <v/>
      </c>
      <c r="D31" s="7">
        <f>IFERROR(MAXIFS(Dependencies!$F$2:$F$38,Dependencies!$B$2:$B$38,A31),0)</f>
        <v/>
      </c>
      <c r="E31" s="7">
        <f>D31+C31</f>
        <v/>
      </c>
      <c r="F31" s="7">
        <f>G31-C31</f>
        <v/>
      </c>
      <c r="G31" s="7">
        <f>IFERROR(MINIFS(Dependencies!$G$2:$G$38,Dependencies!$A$2:$A$38,A31),project_finish)</f>
        <v/>
      </c>
      <c r="H31" s="7">
        <f>F31-D31</f>
        <v/>
      </c>
      <c r="I31" s="7">
        <f>IF(H31=0,"YES","NO")</f>
        <v/>
      </c>
    </row>
    <row r="32">
      <c r="A32" s="7">
        <f>Tasks!A32</f>
        <v/>
      </c>
      <c r="B32" s="9">
        <f>Tasks!B32</f>
        <v/>
      </c>
      <c r="C32" s="7">
        <f>Tasks!G32</f>
        <v/>
      </c>
      <c r="D32" s="7">
        <f>IFERROR(MAXIFS(Dependencies!$F$2:$F$38,Dependencies!$B$2:$B$38,A32),0)</f>
        <v/>
      </c>
      <c r="E32" s="7">
        <f>D32+C32</f>
        <v/>
      </c>
      <c r="F32" s="7">
        <f>G32-C32</f>
        <v/>
      </c>
      <c r="G32" s="7">
        <f>IFERROR(MINIFS(Dependencies!$G$2:$G$38,Dependencies!$A$2:$A$38,A32),project_finish)</f>
        <v/>
      </c>
      <c r="H32" s="7">
        <f>F32-D32</f>
        <v/>
      </c>
      <c r="I32" s="7">
        <f>IF(H32=0,"YES","NO")</f>
        <v/>
      </c>
    </row>
    <row r="33">
      <c r="A33" s="7">
        <f>Tasks!A33</f>
        <v/>
      </c>
      <c r="B33" s="9">
        <f>Tasks!B33</f>
        <v/>
      </c>
      <c r="C33" s="7">
        <f>Tasks!G33</f>
        <v/>
      </c>
      <c r="D33" s="7">
        <f>IFERROR(MAXIFS(Dependencies!$F$2:$F$38,Dependencies!$B$2:$B$38,A33),0)</f>
        <v/>
      </c>
      <c r="E33" s="7">
        <f>D33+C33</f>
        <v/>
      </c>
      <c r="F33" s="7">
        <f>G33-C33</f>
        <v/>
      </c>
      <c r="G33" s="7">
        <f>IFERROR(MINIFS(Dependencies!$G$2:$G$38,Dependencies!$A$2:$A$38,A33),project_finish)</f>
        <v/>
      </c>
      <c r="H33" s="7">
        <f>F33-D33</f>
        <v/>
      </c>
      <c r="I33" s="7">
        <f>IF(H33=0,"YES","NO")</f>
        <v/>
      </c>
    </row>
  </sheetData>
  <conditionalFormatting sqref="A2:I33">
    <cfRule type="expression" priority="1" dxfId="2">
      <formula>$I2="YES"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3"/>
  <sheetViews>
    <sheetView rightToLeft="0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0" customWidth="1" min="2" max="2"/>
    <col width="18" customWidth="1" min="3" max="3"/>
    <col width="25" customWidth="1" min="4" max="4"/>
    <col width="12" customWidth="1" min="5" max="5"/>
    <col width="12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</cols>
  <sheetData>
    <row r="1">
      <c r="A1" s="20" t="inlineStr">
        <is>
          <t>id</t>
        </is>
      </c>
      <c r="B1" s="20" t="inlineStr">
        <is>
          <t>name_ar</t>
        </is>
      </c>
      <c r="C1" s="20" t="inlineStr">
        <is>
          <t>phase</t>
        </is>
      </c>
      <c r="D1" s="20" t="inlineStr">
        <is>
          <t>status</t>
        </is>
      </c>
      <c r="E1" s="20" t="inlineStr">
        <is>
          <t>start_date</t>
        </is>
      </c>
      <c r="F1" s="20" t="inlineStr">
        <is>
          <t>end_date</t>
        </is>
      </c>
      <c r="G1" s="24" t="n">
        <v>45474</v>
      </c>
      <c r="H1" s="24" t="n">
        <v>45505</v>
      </c>
      <c r="I1" s="24" t="n">
        <v>45536</v>
      </c>
      <c r="J1" s="24" t="n">
        <v>45566</v>
      </c>
      <c r="K1" s="24" t="n">
        <v>45597</v>
      </c>
      <c r="L1" s="24" t="n">
        <v>45627</v>
      </c>
      <c r="M1" s="24" t="n">
        <v>45658</v>
      </c>
      <c r="N1" s="24" t="n">
        <v>45689</v>
      </c>
      <c r="O1" s="24" t="n">
        <v>45717</v>
      </c>
      <c r="P1" s="24" t="n">
        <v>45748</v>
      </c>
      <c r="Q1" s="24" t="n">
        <v>45778</v>
      </c>
      <c r="R1" s="24" t="n">
        <v>45809</v>
      </c>
      <c r="S1" s="24" t="n">
        <v>45839</v>
      </c>
      <c r="T1" s="24" t="n">
        <v>45870</v>
      </c>
      <c r="U1" s="24" t="n">
        <v>45901</v>
      </c>
      <c r="V1" s="24" t="n">
        <v>45931</v>
      </c>
      <c r="W1" s="24" t="n">
        <v>45962</v>
      </c>
      <c r="X1" s="24" t="n">
        <v>45992</v>
      </c>
      <c r="Y1" s="24" t="n">
        <v>46023</v>
      </c>
      <c r="Z1" s="24" t="n">
        <v>46054</v>
      </c>
      <c r="AA1" s="24" t="n">
        <v>46082</v>
      </c>
      <c r="AB1" s="24" t="n">
        <v>46113</v>
      </c>
      <c r="AC1" s="24" t="n">
        <v>46143</v>
      </c>
      <c r="AD1" s="24" t="n">
        <v>46174</v>
      </c>
      <c r="AE1" s="24" t="n">
        <v>46204</v>
      </c>
    </row>
    <row r="2">
      <c r="A2" s="7">
        <f>Tasks!A2</f>
        <v/>
      </c>
      <c r="B2" s="9">
        <f>Tasks!B2</f>
        <v/>
      </c>
      <c r="C2" s="7">
        <f>Tasks!C2</f>
        <v/>
      </c>
      <c r="D2" s="7">
        <f>Tasks!N2</f>
        <v/>
      </c>
      <c r="E2" s="21">
        <f>Tasks!F2</f>
        <v/>
      </c>
      <c r="F2" s="21">
        <f>Tasks!H2</f>
        <v/>
      </c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</row>
    <row r="3">
      <c r="A3" s="7">
        <f>Tasks!A3</f>
        <v/>
      </c>
      <c r="B3" s="9">
        <f>Tasks!B3</f>
        <v/>
      </c>
      <c r="C3" s="7">
        <f>Tasks!C3</f>
        <v/>
      </c>
      <c r="D3" s="7">
        <f>Tasks!N3</f>
        <v/>
      </c>
      <c r="E3" s="21">
        <f>Tasks!F3</f>
        <v/>
      </c>
      <c r="F3" s="21">
        <f>Tasks!H3</f>
        <v/>
      </c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</row>
    <row r="4">
      <c r="A4" s="7">
        <f>Tasks!A4</f>
        <v/>
      </c>
      <c r="B4" s="9">
        <f>Tasks!B4</f>
        <v/>
      </c>
      <c r="C4" s="7">
        <f>Tasks!C4</f>
        <v/>
      </c>
      <c r="D4" s="7">
        <f>Tasks!N4</f>
        <v/>
      </c>
      <c r="E4" s="21">
        <f>Tasks!F4</f>
        <v/>
      </c>
      <c r="F4" s="21">
        <f>Tasks!H4</f>
        <v/>
      </c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</row>
    <row r="5">
      <c r="A5" s="7">
        <f>Tasks!A5</f>
        <v/>
      </c>
      <c r="B5" s="9">
        <f>Tasks!B5</f>
        <v/>
      </c>
      <c r="C5" s="7">
        <f>Tasks!C5</f>
        <v/>
      </c>
      <c r="D5" s="7">
        <f>Tasks!N5</f>
        <v/>
      </c>
      <c r="E5" s="21">
        <f>Tasks!F5</f>
        <v/>
      </c>
      <c r="F5" s="21">
        <f>Tasks!H5</f>
        <v/>
      </c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</row>
    <row r="6">
      <c r="A6" s="7">
        <f>Tasks!A6</f>
        <v/>
      </c>
      <c r="B6" s="9">
        <f>Tasks!B6</f>
        <v/>
      </c>
      <c r="C6" s="7">
        <f>Tasks!C6</f>
        <v/>
      </c>
      <c r="D6" s="7">
        <f>Tasks!N6</f>
        <v/>
      </c>
      <c r="E6" s="21">
        <f>Tasks!F6</f>
        <v/>
      </c>
      <c r="F6" s="21">
        <f>Tasks!H6</f>
        <v/>
      </c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</row>
    <row r="7">
      <c r="A7" s="7">
        <f>Tasks!A7</f>
        <v/>
      </c>
      <c r="B7" s="9">
        <f>Tasks!B7</f>
        <v/>
      </c>
      <c r="C7" s="7">
        <f>Tasks!C7</f>
        <v/>
      </c>
      <c r="D7" s="7">
        <f>Tasks!N7</f>
        <v/>
      </c>
      <c r="E7" s="21">
        <f>Tasks!F7</f>
        <v/>
      </c>
      <c r="F7" s="21">
        <f>Tasks!H7</f>
        <v/>
      </c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</row>
    <row r="8">
      <c r="A8" s="7">
        <f>Tasks!A8</f>
        <v/>
      </c>
      <c r="B8" s="9">
        <f>Tasks!B8</f>
        <v/>
      </c>
      <c r="C8" s="7">
        <f>Tasks!C8</f>
        <v/>
      </c>
      <c r="D8" s="7">
        <f>Tasks!N8</f>
        <v/>
      </c>
      <c r="E8" s="21">
        <f>Tasks!F8</f>
        <v/>
      </c>
      <c r="F8" s="21">
        <f>Tasks!H8</f>
        <v/>
      </c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</row>
    <row r="9">
      <c r="A9" s="7">
        <f>Tasks!A9</f>
        <v/>
      </c>
      <c r="B9" s="9">
        <f>Tasks!B9</f>
        <v/>
      </c>
      <c r="C9" s="7">
        <f>Tasks!C9</f>
        <v/>
      </c>
      <c r="D9" s="7">
        <f>Tasks!N9</f>
        <v/>
      </c>
      <c r="E9" s="21">
        <f>Tasks!F9</f>
        <v/>
      </c>
      <c r="F9" s="21">
        <f>Tasks!H9</f>
        <v/>
      </c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</row>
    <row r="10">
      <c r="A10" s="7">
        <f>Tasks!A10</f>
        <v/>
      </c>
      <c r="B10" s="9">
        <f>Tasks!B10</f>
        <v/>
      </c>
      <c r="C10" s="7">
        <f>Tasks!C10</f>
        <v/>
      </c>
      <c r="D10" s="7">
        <f>Tasks!N10</f>
        <v/>
      </c>
      <c r="E10" s="21">
        <f>Tasks!F10</f>
        <v/>
      </c>
      <c r="F10" s="21">
        <f>Tasks!H10</f>
        <v/>
      </c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</row>
    <row r="11">
      <c r="A11" s="7">
        <f>Tasks!A11</f>
        <v/>
      </c>
      <c r="B11" s="9">
        <f>Tasks!B11</f>
        <v/>
      </c>
      <c r="C11" s="7">
        <f>Tasks!C11</f>
        <v/>
      </c>
      <c r="D11" s="7">
        <f>Tasks!N11</f>
        <v/>
      </c>
      <c r="E11" s="21">
        <f>Tasks!F11</f>
        <v/>
      </c>
      <c r="F11" s="21">
        <f>Tasks!H11</f>
        <v/>
      </c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</row>
    <row r="12">
      <c r="A12" s="7">
        <f>Tasks!A12</f>
        <v/>
      </c>
      <c r="B12" s="9">
        <f>Tasks!B12</f>
        <v/>
      </c>
      <c r="C12" s="7">
        <f>Tasks!C12</f>
        <v/>
      </c>
      <c r="D12" s="7">
        <f>Tasks!N12</f>
        <v/>
      </c>
      <c r="E12" s="21">
        <f>Tasks!F12</f>
        <v/>
      </c>
      <c r="F12" s="21">
        <f>Tasks!H12</f>
        <v/>
      </c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</row>
    <row r="13">
      <c r="A13" s="7">
        <f>Tasks!A13</f>
        <v/>
      </c>
      <c r="B13" s="9">
        <f>Tasks!B13</f>
        <v/>
      </c>
      <c r="C13" s="7">
        <f>Tasks!C13</f>
        <v/>
      </c>
      <c r="D13" s="7">
        <f>Tasks!N13</f>
        <v/>
      </c>
      <c r="E13" s="21">
        <f>Tasks!F13</f>
        <v/>
      </c>
      <c r="F13" s="21">
        <f>Tasks!H13</f>
        <v/>
      </c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</row>
    <row r="14">
      <c r="A14" s="7">
        <f>Tasks!A14</f>
        <v/>
      </c>
      <c r="B14" s="9">
        <f>Tasks!B14</f>
        <v/>
      </c>
      <c r="C14" s="7">
        <f>Tasks!C14</f>
        <v/>
      </c>
      <c r="D14" s="7">
        <f>Tasks!N14</f>
        <v/>
      </c>
      <c r="E14" s="21">
        <f>Tasks!F14</f>
        <v/>
      </c>
      <c r="F14" s="21">
        <f>Tasks!H14</f>
        <v/>
      </c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</row>
    <row r="15">
      <c r="A15" s="7">
        <f>Tasks!A15</f>
        <v/>
      </c>
      <c r="B15" s="9">
        <f>Tasks!B15</f>
        <v/>
      </c>
      <c r="C15" s="7">
        <f>Tasks!C15</f>
        <v/>
      </c>
      <c r="D15" s="7">
        <f>Tasks!N15</f>
        <v/>
      </c>
      <c r="E15" s="21">
        <f>Tasks!F15</f>
        <v/>
      </c>
      <c r="F15" s="21">
        <f>Tasks!H15</f>
        <v/>
      </c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</row>
    <row r="16">
      <c r="A16" s="7">
        <f>Tasks!A16</f>
        <v/>
      </c>
      <c r="B16" s="9">
        <f>Tasks!B16</f>
        <v/>
      </c>
      <c r="C16" s="7">
        <f>Tasks!C16</f>
        <v/>
      </c>
      <c r="D16" s="7">
        <f>Tasks!N16</f>
        <v/>
      </c>
      <c r="E16" s="21">
        <f>Tasks!F16</f>
        <v/>
      </c>
      <c r="F16" s="21">
        <f>Tasks!H16</f>
        <v/>
      </c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</row>
    <row r="17">
      <c r="A17" s="7">
        <f>Tasks!A17</f>
        <v/>
      </c>
      <c r="B17" s="9">
        <f>Tasks!B17</f>
        <v/>
      </c>
      <c r="C17" s="7">
        <f>Tasks!C17</f>
        <v/>
      </c>
      <c r="D17" s="7">
        <f>Tasks!N17</f>
        <v/>
      </c>
      <c r="E17" s="21">
        <f>Tasks!F17</f>
        <v/>
      </c>
      <c r="F17" s="21">
        <f>Tasks!H17</f>
        <v/>
      </c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</row>
    <row r="18">
      <c r="A18" s="7">
        <f>Tasks!A18</f>
        <v/>
      </c>
      <c r="B18" s="9">
        <f>Tasks!B18</f>
        <v/>
      </c>
      <c r="C18" s="7">
        <f>Tasks!C18</f>
        <v/>
      </c>
      <c r="D18" s="7">
        <f>Tasks!N18</f>
        <v/>
      </c>
      <c r="E18" s="21">
        <f>Tasks!F18</f>
        <v/>
      </c>
      <c r="F18" s="21">
        <f>Tasks!H18</f>
        <v/>
      </c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</row>
    <row r="19">
      <c r="A19" s="7">
        <f>Tasks!A19</f>
        <v/>
      </c>
      <c r="B19" s="9">
        <f>Tasks!B19</f>
        <v/>
      </c>
      <c r="C19" s="7">
        <f>Tasks!C19</f>
        <v/>
      </c>
      <c r="D19" s="7">
        <f>Tasks!N19</f>
        <v/>
      </c>
      <c r="E19" s="21">
        <f>Tasks!F19</f>
        <v/>
      </c>
      <c r="F19" s="21">
        <f>Tasks!H19</f>
        <v/>
      </c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</row>
    <row r="20">
      <c r="A20" s="7">
        <f>Tasks!A20</f>
        <v/>
      </c>
      <c r="B20" s="9">
        <f>Tasks!B20</f>
        <v/>
      </c>
      <c r="C20" s="7">
        <f>Tasks!C20</f>
        <v/>
      </c>
      <c r="D20" s="7">
        <f>Tasks!N20</f>
        <v/>
      </c>
      <c r="E20" s="21">
        <f>Tasks!F20</f>
        <v/>
      </c>
      <c r="F20" s="21">
        <f>Tasks!H20</f>
        <v/>
      </c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</row>
    <row r="21">
      <c r="A21" s="7">
        <f>Tasks!A21</f>
        <v/>
      </c>
      <c r="B21" s="9">
        <f>Tasks!B21</f>
        <v/>
      </c>
      <c r="C21" s="7">
        <f>Tasks!C21</f>
        <v/>
      </c>
      <c r="D21" s="7">
        <f>Tasks!N21</f>
        <v/>
      </c>
      <c r="E21" s="21">
        <f>Tasks!F21</f>
        <v/>
      </c>
      <c r="F21" s="21">
        <f>Tasks!H21</f>
        <v/>
      </c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</row>
    <row r="22">
      <c r="A22" s="7">
        <f>Tasks!A22</f>
        <v/>
      </c>
      <c r="B22" s="9">
        <f>Tasks!B22</f>
        <v/>
      </c>
      <c r="C22" s="7">
        <f>Tasks!C22</f>
        <v/>
      </c>
      <c r="D22" s="7">
        <f>Tasks!N22</f>
        <v/>
      </c>
      <c r="E22" s="21">
        <f>Tasks!F22</f>
        <v/>
      </c>
      <c r="F22" s="21">
        <f>Tasks!H22</f>
        <v/>
      </c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</row>
    <row r="23">
      <c r="A23" s="7">
        <f>Tasks!A23</f>
        <v/>
      </c>
      <c r="B23" s="9">
        <f>Tasks!B23</f>
        <v/>
      </c>
      <c r="C23" s="7">
        <f>Tasks!C23</f>
        <v/>
      </c>
      <c r="D23" s="7">
        <f>Tasks!N23</f>
        <v/>
      </c>
      <c r="E23" s="21">
        <f>Tasks!F23</f>
        <v/>
      </c>
      <c r="F23" s="21">
        <f>Tasks!H23</f>
        <v/>
      </c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</row>
    <row r="24">
      <c r="A24" s="7">
        <f>Tasks!A24</f>
        <v/>
      </c>
      <c r="B24" s="9">
        <f>Tasks!B24</f>
        <v/>
      </c>
      <c r="C24" s="7">
        <f>Tasks!C24</f>
        <v/>
      </c>
      <c r="D24" s="7">
        <f>Tasks!N24</f>
        <v/>
      </c>
      <c r="E24" s="21">
        <f>Tasks!F24</f>
        <v/>
      </c>
      <c r="F24" s="21">
        <f>Tasks!H24</f>
        <v/>
      </c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</row>
    <row r="25">
      <c r="A25" s="7">
        <f>Tasks!A25</f>
        <v/>
      </c>
      <c r="B25" s="9">
        <f>Tasks!B25</f>
        <v/>
      </c>
      <c r="C25" s="7">
        <f>Tasks!C25</f>
        <v/>
      </c>
      <c r="D25" s="7">
        <f>Tasks!N25</f>
        <v/>
      </c>
      <c r="E25" s="21">
        <f>Tasks!F25</f>
        <v/>
      </c>
      <c r="F25" s="21">
        <f>Tasks!H25</f>
        <v/>
      </c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</row>
    <row r="26">
      <c r="A26" s="7">
        <f>Tasks!A26</f>
        <v/>
      </c>
      <c r="B26" s="9">
        <f>Tasks!B26</f>
        <v/>
      </c>
      <c r="C26" s="7">
        <f>Tasks!C26</f>
        <v/>
      </c>
      <c r="D26" s="7">
        <f>Tasks!N26</f>
        <v/>
      </c>
      <c r="E26" s="21">
        <f>Tasks!F26</f>
        <v/>
      </c>
      <c r="F26" s="21">
        <f>Tasks!H26</f>
        <v/>
      </c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</row>
    <row r="27">
      <c r="A27" s="7">
        <f>Tasks!A27</f>
        <v/>
      </c>
      <c r="B27" s="9">
        <f>Tasks!B27</f>
        <v/>
      </c>
      <c r="C27" s="7">
        <f>Tasks!C27</f>
        <v/>
      </c>
      <c r="D27" s="7">
        <f>Tasks!N27</f>
        <v/>
      </c>
      <c r="E27" s="21">
        <f>Tasks!F27</f>
        <v/>
      </c>
      <c r="F27" s="21">
        <f>Tasks!H27</f>
        <v/>
      </c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</row>
    <row r="28">
      <c r="A28" s="7">
        <f>Tasks!A28</f>
        <v/>
      </c>
      <c r="B28" s="9">
        <f>Tasks!B28</f>
        <v/>
      </c>
      <c r="C28" s="7">
        <f>Tasks!C28</f>
        <v/>
      </c>
      <c r="D28" s="7">
        <f>Tasks!N28</f>
        <v/>
      </c>
      <c r="E28" s="21">
        <f>Tasks!F28</f>
        <v/>
      </c>
      <c r="F28" s="21">
        <f>Tasks!H28</f>
        <v/>
      </c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</row>
    <row r="29">
      <c r="A29" s="7">
        <f>Tasks!A29</f>
        <v/>
      </c>
      <c r="B29" s="9">
        <f>Tasks!B29</f>
        <v/>
      </c>
      <c r="C29" s="7">
        <f>Tasks!C29</f>
        <v/>
      </c>
      <c r="D29" s="7">
        <f>Tasks!N29</f>
        <v/>
      </c>
      <c r="E29" s="21">
        <f>Tasks!F29</f>
        <v/>
      </c>
      <c r="F29" s="21">
        <f>Tasks!H29</f>
        <v/>
      </c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</row>
    <row r="30">
      <c r="A30" s="7">
        <f>Tasks!A30</f>
        <v/>
      </c>
      <c r="B30" s="9">
        <f>Tasks!B30</f>
        <v/>
      </c>
      <c r="C30" s="7">
        <f>Tasks!C30</f>
        <v/>
      </c>
      <c r="D30" s="7">
        <f>Tasks!N30</f>
        <v/>
      </c>
      <c r="E30" s="21">
        <f>Tasks!F30</f>
        <v/>
      </c>
      <c r="F30" s="21">
        <f>Tasks!H30</f>
        <v/>
      </c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</row>
    <row r="31">
      <c r="A31" s="7">
        <f>Tasks!A31</f>
        <v/>
      </c>
      <c r="B31" s="9">
        <f>Tasks!B31</f>
        <v/>
      </c>
      <c r="C31" s="7">
        <f>Tasks!C31</f>
        <v/>
      </c>
      <c r="D31" s="7">
        <f>Tasks!N31</f>
        <v/>
      </c>
      <c r="E31" s="21">
        <f>Tasks!F31</f>
        <v/>
      </c>
      <c r="F31" s="21">
        <f>Tasks!H31</f>
        <v/>
      </c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</row>
    <row r="32">
      <c r="A32" s="7">
        <f>Tasks!A32</f>
        <v/>
      </c>
      <c r="B32" s="9">
        <f>Tasks!B32</f>
        <v/>
      </c>
      <c r="C32" s="7">
        <f>Tasks!C32</f>
        <v/>
      </c>
      <c r="D32" s="7">
        <f>Tasks!N32</f>
        <v/>
      </c>
      <c r="E32" s="21">
        <f>Tasks!F32</f>
        <v/>
      </c>
      <c r="F32" s="21">
        <f>Tasks!H32</f>
        <v/>
      </c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</row>
    <row r="33">
      <c r="A33" s="7">
        <f>Tasks!A33</f>
        <v/>
      </c>
      <c r="B33" s="9">
        <f>Tasks!B33</f>
        <v/>
      </c>
      <c r="C33" s="7">
        <f>Tasks!C33</f>
        <v/>
      </c>
      <c r="D33" s="7">
        <f>Tasks!N33</f>
        <v/>
      </c>
      <c r="E33" s="21">
        <f>Tasks!F33</f>
        <v/>
      </c>
      <c r="F33" s="21">
        <f>Tasks!H33</f>
        <v/>
      </c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</row>
  </sheetData>
  <conditionalFormatting sqref="G2:AE33">
    <cfRule type="expression" priority="1" dxfId="0">
      <formula>AND($D2="completed",G$1&lt;=$F2,EOMONTH(G$1,0)&gt;=$E2)</formula>
    </cfRule>
    <cfRule type="expression" priority="2" dxfId="1">
      <formula>AND($D2="completed-no-formal-doc",G$1&lt;=$F2,EOMONTH(G$1,0)&gt;=$E2)</formula>
    </cfRule>
    <cfRule type="expression" priority="3" dxfId="2">
      <formula>AND($D2="PENDING-M3",G$1&lt;=$F2,EOMONTH(G$1,0)&gt;=$E2)</formula>
    </cfRule>
    <cfRule type="expression" priority="4" dxfId="3">
      <formula>AND($D2="PENDING-M4",G$1&lt;=$F2,EOMONTH(G$1,0)&gt;=$E2)</formula>
    </cfRule>
    <cfRule type="expression" priority="5" dxfId="4">
      <formula>AND($D2="PLANNED-M5",G$1&lt;=$F2,EOMONTH(G$1,0)&gt;=$E2)</formula>
    </cfRule>
    <cfRule type="expression" priority="6" dxfId="5">
      <formula>AND($D2="PLANNED",G$1&lt;=$F2,EOMONTH(G$1,0)&gt;=$E2)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3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45" customWidth="1" min="2" max="2"/>
    <col width="42" customWidth="1" min="3" max="3"/>
    <col width="12" customWidth="1" min="4" max="4"/>
    <col width="14" customWidth="1" min="5" max="5"/>
    <col width="11" customWidth="1" min="6" max="6"/>
    <col width="16" customWidth="1" min="7" max="7"/>
    <col width="14" customWidth="1" min="8" max="8"/>
    <col width="45" customWidth="1" min="9" max="9"/>
    <col width="12" customWidth="1" min="10" max="10"/>
  </cols>
  <sheetData>
    <row r="1">
      <c r="A1" s="20" t="inlineStr">
        <is>
          <t>task_id</t>
        </is>
      </c>
      <c r="B1" s="20" t="inlineStr">
        <is>
          <t>name_ar</t>
        </is>
      </c>
      <c r="C1" s="20" t="inlineStr">
        <is>
          <t>baseline_start</t>
        </is>
      </c>
      <c r="D1" s="20" t="inlineStr">
        <is>
          <t>duration</t>
        </is>
      </c>
      <c r="E1" s="20" t="inlineStr">
        <is>
          <t>baseline_end</t>
        </is>
      </c>
      <c r="F1" s="6" t="inlineStr">
        <is>
          <t>slip_days</t>
        </is>
      </c>
      <c r="G1" s="20" t="inlineStr">
        <is>
          <t>adjusted_start</t>
        </is>
      </c>
      <c r="H1" s="20" t="inlineStr">
        <is>
          <t>adjusted_end</t>
        </is>
      </c>
      <c r="I1" s="20" t="inlineStr">
        <is>
          <t>is_critical</t>
        </is>
      </c>
      <c r="J1" s="20" t="inlineStr">
        <is>
          <t>status</t>
        </is>
      </c>
    </row>
    <row r="2">
      <c r="A2" s="7">
        <f>Tasks!A2</f>
        <v/>
      </c>
      <c r="B2" s="9">
        <f>Tasks!B2</f>
        <v/>
      </c>
      <c r="C2" s="21">
        <f>Tasks!F2</f>
        <v/>
      </c>
      <c r="D2" s="7">
        <f>Tasks!G2</f>
        <v/>
      </c>
      <c r="E2" s="21">
        <f>Tasks!H2</f>
        <v/>
      </c>
      <c r="F2" s="7" t="n">
        <v>0</v>
      </c>
      <c r="G2" s="21">
        <f>C2+F2</f>
        <v/>
      </c>
      <c r="H2" s="21">
        <f>E2+F2</f>
        <v/>
      </c>
      <c r="I2" s="7">
        <f>XLOOKUP(A2,'Critical-Path'!$A$2:$A$33,'Critical-Path'!$I$2:$I$33)</f>
        <v/>
      </c>
      <c r="J2" s="7">
        <f>Tasks!N2</f>
        <v/>
      </c>
    </row>
    <row r="3">
      <c r="A3" s="7">
        <f>Tasks!A3</f>
        <v/>
      </c>
      <c r="B3" s="9">
        <f>Tasks!B3</f>
        <v/>
      </c>
      <c r="C3" s="21">
        <f>Tasks!F3</f>
        <v/>
      </c>
      <c r="D3" s="7">
        <f>Tasks!G3</f>
        <v/>
      </c>
      <c r="E3" s="21">
        <f>Tasks!H3</f>
        <v/>
      </c>
      <c r="F3" s="7" t="n">
        <v>0</v>
      </c>
      <c r="G3" s="21">
        <f>C3+F3</f>
        <v/>
      </c>
      <c r="H3" s="21">
        <f>E3+F3</f>
        <v/>
      </c>
      <c r="I3" s="7">
        <f>XLOOKUP(A3,'Critical-Path'!$A$2:$A$33,'Critical-Path'!$I$2:$I$33)</f>
        <v/>
      </c>
      <c r="J3" s="7">
        <f>Tasks!N3</f>
        <v/>
      </c>
    </row>
    <row r="4">
      <c r="A4" s="7">
        <f>Tasks!A4</f>
        <v/>
      </c>
      <c r="B4" s="9">
        <f>Tasks!B4</f>
        <v/>
      </c>
      <c r="C4" s="21">
        <f>Tasks!F4</f>
        <v/>
      </c>
      <c r="D4" s="7">
        <f>Tasks!G4</f>
        <v/>
      </c>
      <c r="E4" s="21">
        <f>Tasks!H4</f>
        <v/>
      </c>
      <c r="F4" s="7" t="n">
        <v>0</v>
      </c>
      <c r="G4" s="21">
        <f>C4+F4</f>
        <v/>
      </c>
      <c r="H4" s="21">
        <f>E4+F4</f>
        <v/>
      </c>
      <c r="I4" s="7">
        <f>XLOOKUP(A4,'Critical-Path'!$A$2:$A$33,'Critical-Path'!$I$2:$I$33)</f>
        <v/>
      </c>
      <c r="J4" s="7">
        <f>Tasks!N4</f>
        <v/>
      </c>
    </row>
    <row r="5">
      <c r="A5" s="7">
        <f>Tasks!A5</f>
        <v/>
      </c>
      <c r="B5" s="9">
        <f>Tasks!B5</f>
        <v/>
      </c>
      <c r="C5" s="21">
        <f>Tasks!F5</f>
        <v/>
      </c>
      <c r="D5" s="7">
        <f>Tasks!G5</f>
        <v/>
      </c>
      <c r="E5" s="21">
        <f>Tasks!H5</f>
        <v/>
      </c>
      <c r="F5" s="7" t="n">
        <v>0</v>
      </c>
      <c r="G5" s="21">
        <f>C5+F5</f>
        <v/>
      </c>
      <c r="H5" s="21">
        <f>E5+F5</f>
        <v/>
      </c>
      <c r="I5" s="7">
        <f>XLOOKUP(A5,'Critical-Path'!$A$2:$A$33,'Critical-Path'!$I$2:$I$33)</f>
        <v/>
      </c>
      <c r="J5" s="7">
        <f>Tasks!N5</f>
        <v/>
      </c>
    </row>
    <row r="6">
      <c r="A6" s="7">
        <f>Tasks!A6</f>
        <v/>
      </c>
      <c r="B6" s="9">
        <f>Tasks!B6</f>
        <v/>
      </c>
      <c r="C6" s="21">
        <f>Tasks!F6</f>
        <v/>
      </c>
      <c r="D6" s="7">
        <f>Tasks!G6</f>
        <v/>
      </c>
      <c r="E6" s="21">
        <f>Tasks!H6</f>
        <v/>
      </c>
      <c r="F6" s="7" t="n">
        <v>0</v>
      </c>
      <c r="G6" s="21">
        <f>C6+F6</f>
        <v/>
      </c>
      <c r="H6" s="21">
        <f>E6+F6</f>
        <v/>
      </c>
      <c r="I6" s="7">
        <f>XLOOKUP(A6,'Critical-Path'!$A$2:$A$33,'Critical-Path'!$I$2:$I$33)</f>
        <v/>
      </c>
      <c r="J6" s="7">
        <f>Tasks!N6</f>
        <v/>
      </c>
    </row>
    <row r="7">
      <c r="A7" s="7">
        <f>Tasks!A7</f>
        <v/>
      </c>
      <c r="B7" s="9">
        <f>Tasks!B7</f>
        <v/>
      </c>
      <c r="C7" s="21">
        <f>Tasks!F7</f>
        <v/>
      </c>
      <c r="D7" s="7">
        <f>Tasks!G7</f>
        <v/>
      </c>
      <c r="E7" s="21">
        <f>Tasks!H7</f>
        <v/>
      </c>
      <c r="F7" s="7" t="n">
        <v>0</v>
      </c>
      <c r="G7" s="21">
        <f>C7+F7</f>
        <v/>
      </c>
      <c r="H7" s="21">
        <f>E7+F7</f>
        <v/>
      </c>
      <c r="I7" s="7">
        <f>XLOOKUP(A7,'Critical-Path'!$A$2:$A$33,'Critical-Path'!$I$2:$I$33)</f>
        <v/>
      </c>
      <c r="J7" s="7">
        <f>Tasks!N7</f>
        <v/>
      </c>
    </row>
    <row r="8">
      <c r="A8" s="7">
        <f>Tasks!A8</f>
        <v/>
      </c>
      <c r="B8" s="9">
        <f>Tasks!B8</f>
        <v/>
      </c>
      <c r="C8" s="21">
        <f>Tasks!F8</f>
        <v/>
      </c>
      <c r="D8" s="7">
        <f>Tasks!G8</f>
        <v/>
      </c>
      <c r="E8" s="21">
        <f>Tasks!H8</f>
        <v/>
      </c>
      <c r="F8" s="7" t="n">
        <v>0</v>
      </c>
      <c r="G8" s="21">
        <f>C8+F8</f>
        <v/>
      </c>
      <c r="H8" s="21">
        <f>E8+F8</f>
        <v/>
      </c>
      <c r="I8" s="7">
        <f>XLOOKUP(A8,'Critical-Path'!$A$2:$A$33,'Critical-Path'!$I$2:$I$33)</f>
        <v/>
      </c>
      <c r="J8" s="7">
        <f>Tasks!N8</f>
        <v/>
      </c>
    </row>
    <row r="9">
      <c r="A9" s="7">
        <f>Tasks!A9</f>
        <v/>
      </c>
      <c r="B9" s="9">
        <f>Tasks!B9</f>
        <v/>
      </c>
      <c r="C9" s="21">
        <f>Tasks!F9</f>
        <v/>
      </c>
      <c r="D9" s="7">
        <f>Tasks!G9</f>
        <v/>
      </c>
      <c r="E9" s="21">
        <f>Tasks!H9</f>
        <v/>
      </c>
      <c r="F9" s="7" t="n">
        <v>0</v>
      </c>
      <c r="G9" s="21">
        <f>C9+F9</f>
        <v/>
      </c>
      <c r="H9" s="21">
        <f>E9+F9</f>
        <v/>
      </c>
      <c r="I9" s="7">
        <f>XLOOKUP(A9,'Critical-Path'!$A$2:$A$33,'Critical-Path'!$I$2:$I$33)</f>
        <v/>
      </c>
      <c r="J9" s="7">
        <f>Tasks!N9</f>
        <v/>
      </c>
    </row>
    <row r="10">
      <c r="A10" s="7">
        <f>Tasks!A10</f>
        <v/>
      </c>
      <c r="B10" s="9">
        <f>Tasks!B10</f>
        <v/>
      </c>
      <c r="C10" s="21">
        <f>Tasks!F10</f>
        <v/>
      </c>
      <c r="D10" s="7">
        <f>Tasks!G10</f>
        <v/>
      </c>
      <c r="E10" s="21">
        <f>Tasks!H10</f>
        <v/>
      </c>
      <c r="F10" s="7" t="n">
        <v>0</v>
      </c>
      <c r="G10" s="21">
        <f>C10+F10</f>
        <v/>
      </c>
      <c r="H10" s="21">
        <f>E10+F10</f>
        <v/>
      </c>
      <c r="I10" s="7">
        <f>XLOOKUP(A10,'Critical-Path'!$A$2:$A$33,'Critical-Path'!$I$2:$I$33)</f>
        <v/>
      </c>
      <c r="J10" s="7">
        <f>Tasks!N10</f>
        <v/>
      </c>
    </row>
    <row r="11">
      <c r="A11" s="7">
        <f>Tasks!A11</f>
        <v/>
      </c>
      <c r="B11" s="9">
        <f>Tasks!B11</f>
        <v/>
      </c>
      <c r="C11" s="21">
        <f>Tasks!F11</f>
        <v/>
      </c>
      <c r="D11" s="7">
        <f>Tasks!G11</f>
        <v/>
      </c>
      <c r="E11" s="21">
        <f>Tasks!H11</f>
        <v/>
      </c>
      <c r="F11" s="7" t="n">
        <v>0</v>
      </c>
      <c r="G11" s="21">
        <f>C11+F11</f>
        <v/>
      </c>
      <c r="H11" s="21">
        <f>E11+F11</f>
        <v/>
      </c>
      <c r="I11" s="7">
        <f>XLOOKUP(A11,'Critical-Path'!$A$2:$A$33,'Critical-Path'!$I$2:$I$33)</f>
        <v/>
      </c>
      <c r="J11" s="7">
        <f>Tasks!N11</f>
        <v/>
      </c>
    </row>
    <row r="12">
      <c r="A12" s="7">
        <f>Tasks!A12</f>
        <v/>
      </c>
      <c r="B12" s="9">
        <f>Tasks!B12</f>
        <v/>
      </c>
      <c r="C12" s="21">
        <f>Tasks!F12</f>
        <v/>
      </c>
      <c r="D12" s="7">
        <f>Tasks!G12</f>
        <v/>
      </c>
      <c r="E12" s="21">
        <f>Tasks!H12</f>
        <v/>
      </c>
      <c r="F12" s="7" t="n">
        <v>0</v>
      </c>
      <c r="G12" s="21">
        <f>C12+F12</f>
        <v/>
      </c>
      <c r="H12" s="21">
        <f>E12+F12</f>
        <v/>
      </c>
      <c r="I12" s="7">
        <f>XLOOKUP(A12,'Critical-Path'!$A$2:$A$33,'Critical-Path'!$I$2:$I$33)</f>
        <v/>
      </c>
      <c r="J12" s="7">
        <f>Tasks!N12</f>
        <v/>
      </c>
    </row>
    <row r="13">
      <c r="A13" s="7">
        <f>Tasks!A13</f>
        <v/>
      </c>
      <c r="B13" s="9">
        <f>Tasks!B13</f>
        <v/>
      </c>
      <c r="C13" s="21">
        <f>Tasks!F13</f>
        <v/>
      </c>
      <c r="D13" s="7">
        <f>Tasks!G13</f>
        <v/>
      </c>
      <c r="E13" s="21">
        <f>Tasks!H13</f>
        <v/>
      </c>
      <c r="F13" s="7" t="n">
        <v>0</v>
      </c>
      <c r="G13" s="21">
        <f>C13+F13</f>
        <v/>
      </c>
      <c r="H13" s="21">
        <f>E13+F13</f>
        <v/>
      </c>
      <c r="I13" s="7">
        <f>XLOOKUP(A13,'Critical-Path'!$A$2:$A$33,'Critical-Path'!$I$2:$I$33)</f>
        <v/>
      </c>
      <c r="J13" s="7">
        <f>Tasks!N13</f>
        <v/>
      </c>
    </row>
    <row r="14">
      <c r="A14" s="7">
        <f>Tasks!A14</f>
        <v/>
      </c>
      <c r="B14" s="9">
        <f>Tasks!B14</f>
        <v/>
      </c>
      <c r="C14" s="21">
        <f>Tasks!F14</f>
        <v/>
      </c>
      <c r="D14" s="7">
        <f>Tasks!G14</f>
        <v/>
      </c>
      <c r="E14" s="21">
        <f>Tasks!H14</f>
        <v/>
      </c>
      <c r="F14" s="7" t="n">
        <v>0</v>
      </c>
      <c r="G14" s="21">
        <f>C14+F14</f>
        <v/>
      </c>
      <c r="H14" s="21">
        <f>E14+F14</f>
        <v/>
      </c>
      <c r="I14" s="7">
        <f>XLOOKUP(A14,'Critical-Path'!$A$2:$A$33,'Critical-Path'!$I$2:$I$33)</f>
        <v/>
      </c>
      <c r="J14" s="7">
        <f>Tasks!N14</f>
        <v/>
      </c>
    </row>
    <row r="15">
      <c r="A15" s="7">
        <f>Tasks!A15</f>
        <v/>
      </c>
      <c r="B15" s="9">
        <f>Tasks!B15</f>
        <v/>
      </c>
      <c r="C15" s="21">
        <f>Tasks!F15</f>
        <v/>
      </c>
      <c r="D15" s="7">
        <f>Tasks!G15</f>
        <v/>
      </c>
      <c r="E15" s="21">
        <f>Tasks!H15</f>
        <v/>
      </c>
      <c r="F15" s="7" t="n">
        <v>0</v>
      </c>
      <c r="G15" s="21">
        <f>C15+F15</f>
        <v/>
      </c>
      <c r="H15" s="21">
        <f>E15+F15</f>
        <v/>
      </c>
      <c r="I15" s="7">
        <f>XLOOKUP(A15,'Critical-Path'!$A$2:$A$33,'Critical-Path'!$I$2:$I$33)</f>
        <v/>
      </c>
      <c r="J15" s="7">
        <f>Tasks!N15</f>
        <v/>
      </c>
    </row>
    <row r="16">
      <c r="A16" s="7">
        <f>Tasks!A16</f>
        <v/>
      </c>
      <c r="B16" s="9">
        <f>Tasks!B16</f>
        <v/>
      </c>
      <c r="C16" s="21">
        <f>Tasks!F16</f>
        <v/>
      </c>
      <c r="D16" s="7">
        <f>Tasks!G16</f>
        <v/>
      </c>
      <c r="E16" s="21">
        <f>Tasks!H16</f>
        <v/>
      </c>
      <c r="F16" s="7" t="n">
        <v>0</v>
      </c>
      <c r="G16" s="21">
        <f>C16+F16</f>
        <v/>
      </c>
      <c r="H16" s="21">
        <f>E16+F16</f>
        <v/>
      </c>
      <c r="I16" s="7">
        <f>XLOOKUP(A16,'Critical-Path'!$A$2:$A$33,'Critical-Path'!$I$2:$I$33)</f>
        <v/>
      </c>
      <c r="J16" s="7">
        <f>Tasks!N16</f>
        <v/>
      </c>
    </row>
    <row r="17">
      <c r="A17" s="7">
        <f>Tasks!A17</f>
        <v/>
      </c>
      <c r="B17" s="9">
        <f>Tasks!B17</f>
        <v/>
      </c>
      <c r="C17" s="21">
        <f>Tasks!F17</f>
        <v/>
      </c>
      <c r="D17" s="7">
        <f>Tasks!G17</f>
        <v/>
      </c>
      <c r="E17" s="21">
        <f>Tasks!H17</f>
        <v/>
      </c>
      <c r="F17" s="7" t="n">
        <v>0</v>
      </c>
      <c r="G17" s="21">
        <f>C17+F17</f>
        <v/>
      </c>
      <c r="H17" s="21">
        <f>E17+F17</f>
        <v/>
      </c>
      <c r="I17" s="7">
        <f>XLOOKUP(A17,'Critical-Path'!$A$2:$A$33,'Critical-Path'!$I$2:$I$33)</f>
        <v/>
      </c>
      <c r="J17" s="7">
        <f>Tasks!N17</f>
        <v/>
      </c>
    </row>
    <row r="18">
      <c r="A18" s="7">
        <f>Tasks!A18</f>
        <v/>
      </c>
      <c r="B18" s="9">
        <f>Tasks!B18</f>
        <v/>
      </c>
      <c r="C18" s="21">
        <f>Tasks!F18</f>
        <v/>
      </c>
      <c r="D18" s="7">
        <f>Tasks!G18</f>
        <v/>
      </c>
      <c r="E18" s="21">
        <f>Tasks!H18</f>
        <v/>
      </c>
      <c r="F18" s="7" t="n">
        <v>0</v>
      </c>
      <c r="G18" s="21">
        <f>C18+F18</f>
        <v/>
      </c>
      <c r="H18" s="21">
        <f>E18+F18</f>
        <v/>
      </c>
      <c r="I18" s="7">
        <f>XLOOKUP(A18,'Critical-Path'!$A$2:$A$33,'Critical-Path'!$I$2:$I$33)</f>
        <v/>
      </c>
      <c r="J18" s="7">
        <f>Tasks!N18</f>
        <v/>
      </c>
    </row>
    <row r="19">
      <c r="A19" s="7">
        <f>Tasks!A19</f>
        <v/>
      </c>
      <c r="B19" s="9">
        <f>Tasks!B19</f>
        <v/>
      </c>
      <c r="C19" s="21">
        <f>Tasks!F19</f>
        <v/>
      </c>
      <c r="D19" s="7">
        <f>Tasks!G19</f>
        <v/>
      </c>
      <c r="E19" s="21">
        <f>Tasks!H19</f>
        <v/>
      </c>
      <c r="F19" s="7" t="n">
        <v>0</v>
      </c>
      <c r="G19" s="21">
        <f>C19+F19</f>
        <v/>
      </c>
      <c r="H19" s="21">
        <f>E19+F19</f>
        <v/>
      </c>
      <c r="I19" s="7">
        <f>XLOOKUP(A19,'Critical-Path'!$A$2:$A$33,'Critical-Path'!$I$2:$I$33)</f>
        <v/>
      </c>
      <c r="J19" s="7">
        <f>Tasks!N19</f>
        <v/>
      </c>
    </row>
    <row r="20">
      <c r="A20" s="7">
        <f>Tasks!A20</f>
        <v/>
      </c>
      <c r="B20" s="9">
        <f>Tasks!B20</f>
        <v/>
      </c>
      <c r="C20" s="21">
        <f>Tasks!F20</f>
        <v/>
      </c>
      <c r="D20" s="7">
        <f>Tasks!G20</f>
        <v/>
      </c>
      <c r="E20" s="21">
        <f>Tasks!H20</f>
        <v/>
      </c>
      <c r="F20" s="7" t="n">
        <v>0</v>
      </c>
      <c r="G20" s="21">
        <f>C20+F20</f>
        <v/>
      </c>
      <c r="H20" s="21">
        <f>E20+F20</f>
        <v/>
      </c>
      <c r="I20" s="7">
        <f>XLOOKUP(A20,'Critical-Path'!$A$2:$A$33,'Critical-Path'!$I$2:$I$33)</f>
        <v/>
      </c>
      <c r="J20" s="7">
        <f>Tasks!N20</f>
        <v/>
      </c>
    </row>
    <row r="21">
      <c r="A21" s="7">
        <f>Tasks!A21</f>
        <v/>
      </c>
      <c r="B21" s="9">
        <f>Tasks!B21</f>
        <v/>
      </c>
      <c r="C21" s="21">
        <f>Tasks!F21</f>
        <v/>
      </c>
      <c r="D21" s="7">
        <f>Tasks!G21</f>
        <v/>
      </c>
      <c r="E21" s="21">
        <f>Tasks!H21</f>
        <v/>
      </c>
      <c r="F21" s="7" t="n">
        <v>0</v>
      </c>
      <c r="G21" s="21">
        <f>C21+F21</f>
        <v/>
      </c>
      <c r="H21" s="21">
        <f>E21+F21</f>
        <v/>
      </c>
      <c r="I21" s="7">
        <f>XLOOKUP(A21,'Critical-Path'!$A$2:$A$33,'Critical-Path'!$I$2:$I$33)</f>
        <v/>
      </c>
      <c r="J21" s="7">
        <f>Tasks!N21</f>
        <v/>
      </c>
    </row>
    <row r="22">
      <c r="A22" s="7">
        <f>Tasks!A22</f>
        <v/>
      </c>
      <c r="B22" s="9">
        <f>Tasks!B22</f>
        <v/>
      </c>
      <c r="C22" s="21">
        <f>Tasks!F22</f>
        <v/>
      </c>
      <c r="D22" s="7">
        <f>Tasks!G22</f>
        <v/>
      </c>
      <c r="E22" s="21">
        <f>Tasks!H22</f>
        <v/>
      </c>
      <c r="F22" s="7" t="n">
        <v>0</v>
      </c>
      <c r="G22" s="21">
        <f>C22+F22</f>
        <v/>
      </c>
      <c r="H22" s="21">
        <f>E22+F22</f>
        <v/>
      </c>
      <c r="I22" s="7">
        <f>XLOOKUP(A22,'Critical-Path'!$A$2:$A$33,'Critical-Path'!$I$2:$I$33)</f>
        <v/>
      </c>
      <c r="J22" s="7">
        <f>Tasks!N22</f>
        <v/>
      </c>
    </row>
    <row r="23">
      <c r="A23" s="7">
        <f>Tasks!A23</f>
        <v/>
      </c>
      <c r="B23" s="9">
        <f>Tasks!B23</f>
        <v/>
      </c>
      <c r="C23" s="21">
        <f>Tasks!F23</f>
        <v/>
      </c>
      <c r="D23" s="7">
        <f>Tasks!G23</f>
        <v/>
      </c>
      <c r="E23" s="21">
        <f>Tasks!H23</f>
        <v/>
      </c>
      <c r="F23" s="7" t="n">
        <v>0</v>
      </c>
      <c r="G23" s="21">
        <f>C23+F23</f>
        <v/>
      </c>
      <c r="H23" s="21">
        <f>E23+F23</f>
        <v/>
      </c>
      <c r="I23" s="7">
        <f>XLOOKUP(A23,'Critical-Path'!$A$2:$A$33,'Critical-Path'!$I$2:$I$33)</f>
        <v/>
      </c>
      <c r="J23" s="7">
        <f>Tasks!N23</f>
        <v/>
      </c>
    </row>
    <row r="24">
      <c r="A24" s="7">
        <f>Tasks!A24</f>
        <v/>
      </c>
      <c r="B24" s="9">
        <f>Tasks!B24</f>
        <v/>
      </c>
      <c r="C24" s="21">
        <f>Tasks!F24</f>
        <v/>
      </c>
      <c r="D24" s="7">
        <f>Tasks!G24</f>
        <v/>
      </c>
      <c r="E24" s="21">
        <f>Tasks!H24</f>
        <v/>
      </c>
      <c r="F24" s="7" t="n">
        <v>0</v>
      </c>
      <c r="G24" s="21">
        <f>C24+F24</f>
        <v/>
      </c>
      <c r="H24" s="21">
        <f>E24+F24</f>
        <v/>
      </c>
      <c r="I24" s="7">
        <f>XLOOKUP(A24,'Critical-Path'!$A$2:$A$33,'Critical-Path'!$I$2:$I$33)</f>
        <v/>
      </c>
      <c r="J24" s="7">
        <f>Tasks!N24</f>
        <v/>
      </c>
    </row>
    <row r="25">
      <c r="A25" s="7">
        <f>Tasks!A25</f>
        <v/>
      </c>
      <c r="B25" s="9">
        <f>Tasks!B25</f>
        <v/>
      </c>
      <c r="C25" s="21">
        <f>Tasks!F25</f>
        <v/>
      </c>
      <c r="D25" s="7">
        <f>Tasks!G25</f>
        <v/>
      </c>
      <c r="E25" s="21">
        <f>Tasks!H25</f>
        <v/>
      </c>
      <c r="F25" s="7" t="n">
        <v>0</v>
      </c>
      <c r="G25" s="21">
        <f>C25+F25</f>
        <v/>
      </c>
      <c r="H25" s="21">
        <f>E25+F25</f>
        <v/>
      </c>
      <c r="I25" s="7">
        <f>XLOOKUP(A25,'Critical-Path'!$A$2:$A$33,'Critical-Path'!$I$2:$I$33)</f>
        <v/>
      </c>
      <c r="J25" s="7">
        <f>Tasks!N25</f>
        <v/>
      </c>
    </row>
    <row r="26">
      <c r="A26" s="7">
        <f>Tasks!A26</f>
        <v/>
      </c>
      <c r="B26" s="9">
        <f>Tasks!B26</f>
        <v/>
      </c>
      <c r="C26" s="21">
        <f>Tasks!F26</f>
        <v/>
      </c>
      <c r="D26" s="7">
        <f>Tasks!G26</f>
        <v/>
      </c>
      <c r="E26" s="21">
        <f>Tasks!H26</f>
        <v/>
      </c>
      <c r="F26" s="7" t="n">
        <v>0</v>
      </c>
      <c r="G26" s="21">
        <f>C26+F26</f>
        <v/>
      </c>
      <c r="H26" s="21">
        <f>E26+F26</f>
        <v/>
      </c>
      <c r="I26" s="7">
        <f>XLOOKUP(A26,'Critical-Path'!$A$2:$A$33,'Critical-Path'!$I$2:$I$33)</f>
        <v/>
      </c>
      <c r="J26" s="7">
        <f>Tasks!N26</f>
        <v/>
      </c>
    </row>
    <row r="27">
      <c r="A27" s="7">
        <f>Tasks!A27</f>
        <v/>
      </c>
      <c r="B27" s="9">
        <f>Tasks!B27</f>
        <v/>
      </c>
      <c r="C27" s="21">
        <f>Tasks!F27</f>
        <v/>
      </c>
      <c r="D27" s="7">
        <f>Tasks!G27</f>
        <v/>
      </c>
      <c r="E27" s="21">
        <f>Tasks!H27</f>
        <v/>
      </c>
      <c r="F27" s="7" t="n">
        <v>0</v>
      </c>
      <c r="G27" s="21">
        <f>C27+F27</f>
        <v/>
      </c>
      <c r="H27" s="21">
        <f>E27+F27</f>
        <v/>
      </c>
      <c r="I27" s="7">
        <f>XLOOKUP(A27,'Critical-Path'!$A$2:$A$33,'Critical-Path'!$I$2:$I$33)</f>
        <v/>
      </c>
      <c r="J27" s="7">
        <f>Tasks!N27</f>
        <v/>
      </c>
    </row>
    <row r="28">
      <c r="A28" s="7">
        <f>Tasks!A28</f>
        <v/>
      </c>
      <c r="B28" s="9">
        <f>Tasks!B28</f>
        <v/>
      </c>
      <c r="C28" s="21">
        <f>Tasks!F28</f>
        <v/>
      </c>
      <c r="D28" s="7">
        <f>Tasks!G28</f>
        <v/>
      </c>
      <c r="E28" s="21">
        <f>Tasks!H28</f>
        <v/>
      </c>
      <c r="F28" s="7" t="n">
        <v>0</v>
      </c>
      <c r="G28" s="21">
        <f>C28+F28</f>
        <v/>
      </c>
      <c r="H28" s="21">
        <f>E28+F28</f>
        <v/>
      </c>
      <c r="I28" s="7">
        <f>XLOOKUP(A28,'Critical-Path'!$A$2:$A$33,'Critical-Path'!$I$2:$I$33)</f>
        <v/>
      </c>
      <c r="J28" s="7">
        <f>Tasks!N28</f>
        <v/>
      </c>
    </row>
    <row r="29">
      <c r="A29" s="7">
        <f>Tasks!A29</f>
        <v/>
      </c>
      <c r="B29" s="9">
        <f>Tasks!B29</f>
        <v/>
      </c>
      <c r="C29" s="21">
        <f>Tasks!F29</f>
        <v/>
      </c>
      <c r="D29" s="7">
        <f>Tasks!G29</f>
        <v/>
      </c>
      <c r="E29" s="21">
        <f>Tasks!H29</f>
        <v/>
      </c>
      <c r="F29" s="7" t="n">
        <v>0</v>
      </c>
      <c r="G29" s="21">
        <f>C29+F29</f>
        <v/>
      </c>
      <c r="H29" s="21">
        <f>E29+F29</f>
        <v/>
      </c>
      <c r="I29" s="7">
        <f>XLOOKUP(A29,'Critical-Path'!$A$2:$A$33,'Critical-Path'!$I$2:$I$33)</f>
        <v/>
      </c>
      <c r="J29" s="7">
        <f>Tasks!N29</f>
        <v/>
      </c>
    </row>
    <row r="30">
      <c r="A30" s="7">
        <f>Tasks!A30</f>
        <v/>
      </c>
      <c r="B30" s="9">
        <f>Tasks!B30</f>
        <v/>
      </c>
      <c r="C30" s="21">
        <f>Tasks!F30</f>
        <v/>
      </c>
      <c r="D30" s="7">
        <f>Tasks!G30</f>
        <v/>
      </c>
      <c r="E30" s="21">
        <f>Tasks!H30</f>
        <v/>
      </c>
      <c r="F30" s="7" t="n">
        <v>0</v>
      </c>
      <c r="G30" s="21">
        <f>C30+F30</f>
        <v/>
      </c>
      <c r="H30" s="21">
        <f>E30+F30</f>
        <v/>
      </c>
      <c r="I30" s="7">
        <f>XLOOKUP(A30,'Critical-Path'!$A$2:$A$33,'Critical-Path'!$I$2:$I$33)</f>
        <v/>
      </c>
      <c r="J30" s="7">
        <f>Tasks!N30</f>
        <v/>
      </c>
    </row>
    <row r="31">
      <c r="A31" s="7">
        <f>Tasks!A31</f>
        <v/>
      </c>
      <c r="B31" s="9">
        <f>Tasks!B31</f>
        <v/>
      </c>
      <c r="C31" s="21">
        <f>Tasks!F31</f>
        <v/>
      </c>
      <c r="D31" s="7">
        <f>Tasks!G31</f>
        <v/>
      </c>
      <c r="E31" s="21">
        <f>Tasks!H31</f>
        <v/>
      </c>
      <c r="F31" s="7" t="n">
        <v>0</v>
      </c>
      <c r="G31" s="21">
        <f>C31+F31</f>
        <v/>
      </c>
      <c r="H31" s="21">
        <f>E31+F31</f>
        <v/>
      </c>
      <c r="I31" s="7">
        <f>XLOOKUP(A31,'Critical-Path'!$A$2:$A$33,'Critical-Path'!$I$2:$I$33)</f>
        <v/>
      </c>
      <c r="J31" s="7">
        <f>Tasks!N31</f>
        <v/>
      </c>
    </row>
    <row r="32">
      <c r="A32" s="7">
        <f>Tasks!A32</f>
        <v/>
      </c>
      <c r="B32" s="9">
        <f>Tasks!B32</f>
        <v/>
      </c>
      <c r="C32" s="21">
        <f>Tasks!F32</f>
        <v/>
      </c>
      <c r="D32" s="7">
        <f>Tasks!G32</f>
        <v/>
      </c>
      <c r="E32" s="21">
        <f>Tasks!H32</f>
        <v/>
      </c>
      <c r="F32" s="7" t="n">
        <v>0</v>
      </c>
      <c r="G32" s="21">
        <f>C32+F32</f>
        <v/>
      </c>
      <c r="H32" s="21">
        <f>E32+F32</f>
        <v/>
      </c>
      <c r="I32" s="7">
        <f>XLOOKUP(A32,'Critical-Path'!$A$2:$A$33,'Critical-Path'!$I$2:$I$33)</f>
        <v/>
      </c>
      <c r="J32" s="7">
        <f>Tasks!N32</f>
        <v/>
      </c>
    </row>
    <row r="33">
      <c r="A33" s="7">
        <f>Tasks!A33</f>
        <v/>
      </c>
      <c r="B33" s="9">
        <f>Tasks!B33</f>
        <v/>
      </c>
      <c r="C33" s="21">
        <f>Tasks!F33</f>
        <v/>
      </c>
      <c r="D33" s="7">
        <f>Tasks!G33</f>
        <v/>
      </c>
      <c r="E33" s="21">
        <f>Tasks!H33</f>
        <v/>
      </c>
      <c r="F33" s="7" t="n">
        <v>0</v>
      </c>
      <c r="G33" s="21">
        <f>C33+F33</f>
        <v/>
      </c>
      <c r="H33" s="21">
        <f>E33+F33</f>
        <v/>
      </c>
      <c r="I33" s="7">
        <f>XLOOKUP(A33,'Critical-Path'!$A$2:$A$33,'Critical-Path'!$I$2:$I$33)</f>
        <v/>
      </c>
      <c r="J33" s="7">
        <f>Tasks!N33</f>
        <v/>
      </c>
    </row>
    <row r="34"/>
    <row r="35"/>
    <row r="36">
      <c r="A36" s="25" t="inlineStr">
        <is>
          <t>Submission Summary</t>
        </is>
      </c>
    </row>
    <row r="37">
      <c r="A37" s="23" t="inlineStr">
        <is>
          <t>Deadline:</t>
        </is>
      </c>
      <c r="C37" s="26">
        <f>deadline</f>
        <v/>
      </c>
    </row>
    <row r="38">
      <c r="A38" s="23" t="inlineStr">
        <is>
          <t>Adjusted submission end (T-SUB-03):</t>
        </is>
      </c>
      <c r="C38" s="26">
        <f>H33</f>
        <v/>
      </c>
    </row>
    <row r="39">
      <c r="A39" s="23" t="inlineStr">
        <is>
          <t>Slack to deadline (days):</t>
        </is>
      </c>
      <c r="C39">
        <f>C37-H33</f>
        <v/>
      </c>
    </row>
    <row r="40">
      <c r="A40" s="23" t="inlineStr">
        <is>
          <t>Status:</t>
        </is>
      </c>
      <c r="C40" s="23">
        <f>IF(C39&gt;=0,"ON TRACK","DEADLINE MISSED")</f>
        <v/>
      </c>
    </row>
    <row r="43">
      <c r="A43" s="2" t="inlineStr">
        <is>
          <t>⚙ كيف تستخدم: غيِّر slip_days لأي مهمة (سالب=تَقديم، موجب=تأخير). تأثيرها على الموعد النهائي يَظهر في صف Slack to deadline.</t>
        </is>
      </c>
    </row>
  </sheetData>
  <conditionalFormatting sqref="A2:J33">
    <cfRule type="expression" priority="1" dxfId="11">
      <formula>$I2="YES"</formula>
    </cfRule>
  </conditionalFormatting>
  <conditionalFormatting sqref="J2:J33">
    <cfRule type="cellIs" priority="2" operator="equal" dxfId="0">
      <formula>"completed"</formula>
    </cfRule>
    <cfRule type="cellIs" priority="3" operator="equal" dxfId="1">
      <formula>"completed-no-formal-doc"</formula>
    </cfRule>
    <cfRule type="cellIs" priority="4" operator="equal" dxfId="2">
      <formula>"PENDING-M3"</formula>
    </cfRule>
    <cfRule type="cellIs" priority="5" operator="equal" dxfId="3">
      <formula>"PENDING-M4"</formula>
    </cfRule>
    <cfRule type="cellIs" priority="6" operator="equal" dxfId="4">
      <formula>"PLANNED-M5"</formula>
    </cfRule>
    <cfRule type="cellIs" priority="7" operator="equal" dxfId="5">
      <formula>"PLANNED"</formula>
    </cfRule>
  </conditionalFormatting>
  <conditionalFormatting sqref="C40">
    <cfRule type="cellIs" priority="8" operator="equal" dxfId="0">
      <formula>"ON TRACK"</formula>
    </cfRule>
    <cfRule type="cellIs" priority="9" operator="equal" dxfId="2">
      <formula>"DEADLINE MISSED"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8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0" customWidth="1" min="2" max="2"/>
    <col width="60" customWidth="1" min="3" max="3"/>
    <col width="12" customWidth="1" min="4" max="4"/>
    <col width="14" customWidth="1" min="5" max="5"/>
    <col width="42" customWidth="1" min="6" max="6"/>
    <col width="40" customWidth="1" min="7" max="7"/>
    <col width="45" customWidth="1" min="8" max="8"/>
  </cols>
  <sheetData>
    <row r="1">
      <c r="A1" s="6" t="inlineStr">
        <is>
          <t>deliverable_id</t>
        </is>
      </c>
      <c r="B1" s="6" t="inlineStr">
        <is>
          <t>code</t>
        </is>
      </c>
      <c r="C1" s="6" t="inlineStr">
        <is>
          <t>name_ar</t>
        </is>
      </c>
      <c r="D1" s="6" t="inlineStr">
        <is>
          <t>category</t>
        </is>
      </c>
      <c r="E1" s="6" t="inlineStr">
        <is>
          <t>phase_abcdef</t>
        </is>
      </c>
      <c r="F1" s="20" t="inlineStr">
        <is>
          <t>etec_file_count</t>
        </is>
      </c>
      <c r="G1" s="20" t="inlineStr">
        <is>
          <t>timeline_task_count</t>
        </is>
      </c>
      <c r="H1" s="20" t="inlineStr">
        <is>
          <t>coverage_status</t>
        </is>
      </c>
    </row>
    <row r="2">
      <c r="A2" s="7" t="inlineStr">
        <is>
          <t>DEL-PRE-001</t>
        </is>
      </c>
      <c r="B2" s="7" t="inlineStr">
        <is>
          <t>PRE-01</t>
        </is>
      </c>
      <c r="C2" s="9" t="inlineStr">
        <is>
          <t>اشتراطات التقييم</t>
        </is>
      </c>
      <c r="D2" s="7" t="inlineStr">
        <is>
          <t>الاشتراطات</t>
        </is>
      </c>
      <c r="E2" s="7" t="inlineStr">
        <is>
          <t>A</t>
        </is>
      </c>
      <c r="F2" s="7">
        <f>COUNTIF('Files-Mapping'!$B$2:$B$81,A2)</f>
        <v/>
      </c>
      <c r="G2" s="7">
        <f>COUNTIF(Tasks!$J$2:$J$33,"*"&amp;A2&amp;"*")</f>
        <v/>
      </c>
      <c r="H2" s="7">
        <f>IF(AND(F2&gt;0,G2&gt;0),"covered",IF(AND(F2=0,G2&gt;0),"pending-generation",IF(AND(F2&gt;0,G2=0),"orphan-files","not-applicable")))</f>
        <v/>
      </c>
    </row>
    <row r="3">
      <c r="A3" s="7" t="inlineStr">
        <is>
          <t>DEL-PRE-002</t>
        </is>
      </c>
      <c r="B3" s="7" t="inlineStr">
        <is>
          <t>PRE-02</t>
        </is>
      </c>
      <c r="C3" s="9" t="inlineStr">
        <is>
          <t>اشتراطات لجنة حوكمة البنية المؤسسية</t>
        </is>
      </c>
      <c r="D3" s="7" t="inlineStr">
        <is>
          <t>الاشتراطات</t>
        </is>
      </c>
      <c r="E3" s="7" t="inlineStr">
        <is>
          <t>A</t>
        </is>
      </c>
      <c r="F3" s="7">
        <f>COUNTIF('Files-Mapping'!$B$2:$B$81,A3)</f>
        <v/>
      </c>
      <c r="G3" s="7">
        <f>COUNTIF(Tasks!$J$2:$J$33,"*"&amp;A3&amp;"*")</f>
        <v/>
      </c>
      <c r="H3" s="7">
        <f>IF(AND(F3&gt;0,G3&gt;0),"covered",IF(AND(F3=0,G3&gt;0),"pending-generation",IF(AND(F3&gt;0,G3=0),"orphan-files","not-applicable")))</f>
        <v/>
      </c>
    </row>
    <row r="4">
      <c r="A4" s="7" t="inlineStr">
        <is>
          <t>DEL-PRE-003</t>
        </is>
      </c>
      <c r="B4" s="7" t="inlineStr">
        <is>
          <t>PRE-03</t>
        </is>
      </c>
      <c r="C4" s="9" t="inlineStr">
        <is>
          <t>اشتراطات عامة</t>
        </is>
      </c>
      <c r="D4" s="7" t="inlineStr">
        <is>
          <t>الاشتراطات</t>
        </is>
      </c>
      <c r="E4" s="7" t="inlineStr">
        <is>
          <t>A</t>
        </is>
      </c>
      <c r="F4" s="7">
        <f>COUNTIF('Files-Mapping'!$B$2:$B$81,A4)</f>
        <v/>
      </c>
      <c r="G4" s="7">
        <f>COUNTIF(Tasks!$J$2:$J$33,"*"&amp;A4&amp;"*")</f>
        <v/>
      </c>
      <c r="H4" s="7">
        <f>IF(AND(F4&gt;0,G4&gt;0),"covered",IF(AND(F4=0,G4&gt;0),"pending-generation",IF(AND(F4&gt;0,G4=0),"orphan-files","not-applicable")))</f>
        <v/>
      </c>
    </row>
    <row r="5">
      <c r="A5" s="7" t="inlineStr">
        <is>
          <t>DEL-PRE-004</t>
        </is>
      </c>
      <c r="B5" s="7" t="inlineStr">
        <is>
          <t>PRE-04</t>
        </is>
      </c>
      <c r="C5" s="9" t="inlineStr">
        <is>
          <t>اشتراطات فريق عمل الوحدة التنظيمية للبنية المؤسسية</t>
        </is>
      </c>
      <c r="D5" s="7" t="inlineStr">
        <is>
          <t>الاشتراطات</t>
        </is>
      </c>
      <c r="E5" s="7" t="inlineStr">
        <is>
          <t>A</t>
        </is>
      </c>
      <c r="F5" s="7">
        <f>COUNTIF('Files-Mapping'!$B$2:$B$81,A5)</f>
        <v/>
      </c>
      <c r="G5" s="7">
        <f>COUNTIF(Tasks!$J$2:$J$33,"*"&amp;A5&amp;"*")</f>
        <v/>
      </c>
      <c r="H5" s="7">
        <f>IF(AND(F5&gt;0,G5&gt;0),"covered",IF(AND(F5=0,G5&gt;0),"pending-generation",IF(AND(F5&gt;0,G5=0),"orphan-files","not-applicable")))</f>
        <v/>
      </c>
    </row>
    <row r="6">
      <c r="A6" s="7" t="inlineStr">
        <is>
          <t>DEL-DOC-001</t>
        </is>
      </c>
      <c r="B6" s="7" t="inlineStr">
        <is>
          <t>DOC-01</t>
        </is>
      </c>
      <c r="C6" s="9" t="inlineStr">
        <is>
          <t>وثيقة استراتيجية الأعمال</t>
        </is>
      </c>
      <c r="D6" s="7" t="inlineStr">
        <is>
          <t>الوثائق</t>
        </is>
      </c>
      <c r="E6" s="7" t="inlineStr">
        <is>
          <t>C</t>
        </is>
      </c>
      <c r="F6" s="7">
        <f>COUNTIF('Files-Mapping'!$B$2:$B$81,A6)</f>
        <v/>
      </c>
      <c r="G6" s="7">
        <f>COUNTIF(Tasks!$J$2:$J$33,"*"&amp;A6&amp;"*")</f>
        <v/>
      </c>
      <c r="H6" s="7">
        <f>IF(AND(F6&gt;0,G6&gt;0),"covered",IF(AND(F6=0,G6&gt;0),"pending-generation",IF(AND(F6&gt;0,G6=0),"orphan-files","not-applicable")))</f>
        <v/>
      </c>
    </row>
    <row r="7">
      <c r="A7" s="7" t="inlineStr">
        <is>
          <t>DEL-DOC-002</t>
        </is>
      </c>
      <c r="B7" s="7" t="inlineStr">
        <is>
          <t>DOC-02</t>
        </is>
      </c>
      <c r="C7" s="9" t="inlineStr">
        <is>
          <t>وثيقة استراتيجية التحول الرقمي</t>
        </is>
      </c>
      <c r="D7" s="7" t="inlineStr">
        <is>
          <t>الوثائق</t>
        </is>
      </c>
      <c r="E7" s="7" t="inlineStr">
        <is>
          <t>C</t>
        </is>
      </c>
      <c r="F7" s="7">
        <f>COUNTIF('Files-Mapping'!$B$2:$B$81,A7)</f>
        <v/>
      </c>
      <c r="G7" s="7">
        <f>COUNTIF(Tasks!$J$2:$J$33,"*"&amp;A7&amp;"*")</f>
        <v/>
      </c>
      <c r="H7" s="7">
        <f>IF(AND(F7&gt;0,G7&gt;0),"covered",IF(AND(F7=0,G7&gt;0),"pending-generation",IF(AND(F7&gt;0,G7=0),"orphan-files","not-applicable")))</f>
        <v/>
      </c>
    </row>
    <row r="8">
      <c r="A8" s="7" t="inlineStr">
        <is>
          <t>DEL-DOC-003</t>
        </is>
      </c>
      <c r="B8" s="7" t="inlineStr">
        <is>
          <t>DOC-03</t>
        </is>
      </c>
      <c r="C8" s="9" t="inlineStr">
        <is>
          <t>وثائق الاستراتيجيات الرقمية</t>
        </is>
      </c>
      <c r="D8" s="7" t="inlineStr">
        <is>
          <t>الوثائق</t>
        </is>
      </c>
      <c r="E8" s="7" t="inlineStr">
        <is>
          <t>C</t>
        </is>
      </c>
      <c r="F8" s="7">
        <f>COUNTIF('Files-Mapping'!$B$2:$B$81,A8)</f>
        <v/>
      </c>
      <c r="G8" s="7">
        <f>COUNTIF(Tasks!$J$2:$J$33,"*"&amp;A8&amp;"*")</f>
        <v/>
      </c>
      <c r="H8" s="7">
        <f>IF(AND(F8&gt;0,G8&gt;0),"covered",IF(AND(F8=0,G8&gt;0),"pending-generation",IF(AND(F8&gt;0,G8=0),"orphan-files","not-applicable")))</f>
        <v/>
      </c>
    </row>
    <row r="9">
      <c r="A9" s="7" t="inlineStr">
        <is>
          <t>DEL-DOC-004</t>
        </is>
      </c>
      <c r="B9" s="7" t="inlineStr">
        <is>
          <t>DOC-04</t>
        </is>
      </c>
      <c r="C9" s="9" t="inlineStr">
        <is>
          <t>وثيقة استراتيجية البنية المؤسسية</t>
        </is>
      </c>
      <c r="D9" s="7" t="inlineStr">
        <is>
          <t>الوثائق</t>
        </is>
      </c>
      <c r="E9" s="7" t="inlineStr">
        <is>
          <t>C</t>
        </is>
      </c>
      <c r="F9" s="7">
        <f>COUNTIF('Files-Mapping'!$B$2:$B$81,A9)</f>
        <v/>
      </c>
      <c r="G9" s="7">
        <f>COUNTIF(Tasks!$J$2:$J$33,"*"&amp;A9&amp;"*")</f>
        <v/>
      </c>
      <c r="H9" s="7">
        <f>IF(AND(F9&gt;0,G9&gt;0),"covered",IF(AND(F9=0,G9&gt;0),"pending-generation",IF(AND(F9&gt;0,G9=0),"orphan-files","not-applicable")))</f>
        <v/>
      </c>
    </row>
    <row r="10">
      <c r="A10" s="7" t="inlineStr">
        <is>
          <t>DEL-DOC-005</t>
        </is>
      </c>
      <c r="B10" s="7" t="inlineStr">
        <is>
          <t>DOC-05</t>
        </is>
      </c>
      <c r="C10" s="9" t="inlineStr">
        <is>
          <t>وثيقة الهيكل التنظيمي للجهة</t>
        </is>
      </c>
      <c r="D10" s="7" t="inlineStr">
        <is>
          <t>الوثائق</t>
        </is>
      </c>
      <c r="E10" s="7" t="inlineStr">
        <is>
          <t>B</t>
        </is>
      </c>
      <c r="F10" s="7">
        <f>COUNTIF('Files-Mapping'!$B$2:$B$81,A10)</f>
        <v/>
      </c>
      <c r="G10" s="7">
        <f>COUNTIF(Tasks!$J$2:$J$33,"*"&amp;A10&amp;"*")</f>
        <v/>
      </c>
      <c r="H10" s="7">
        <f>IF(AND(F10&gt;0,G10&gt;0),"covered",IF(AND(F10=0,G10&gt;0),"pending-generation",IF(AND(F10&gt;0,G10=0),"orphan-files","not-applicable")))</f>
        <v/>
      </c>
    </row>
    <row r="11">
      <c r="A11" s="7" t="inlineStr">
        <is>
          <t>DEL-DOC-006</t>
        </is>
      </c>
      <c r="B11" s="7" t="inlineStr">
        <is>
          <t>DOC-06</t>
        </is>
      </c>
      <c r="C11" s="9" t="inlineStr">
        <is>
          <t>وثيقة سياسة البنية المؤسسية</t>
        </is>
      </c>
      <c r="D11" s="7" t="inlineStr">
        <is>
          <t>الوثائق</t>
        </is>
      </c>
      <c r="E11" s="7" t="inlineStr">
        <is>
          <t>C</t>
        </is>
      </c>
      <c r="F11" s="7">
        <f>COUNTIF('Files-Mapping'!$B$2:$B$81,A11)</f>
        <v/>
      </c>
      <c r="G11" s="7">
        <f>COUNTIF(Tasks!$J$2:$J$33,"*"&amp;A11&amp;"*")</f>
        <v/>
      </c>
      <c r="H11" s="7">
        <f>IF(AND(F11&gt;0,G11&gt;0),"covered",IF(AND(F11=0,G11&gt;0),"pending-generation",IF(AND(F11&gt;0,G11=0),"orphan-files","not-applicable")))</f>
        <v/>
      </c>
    </row>
    <row r="12">
      <c r="A12" s="7" t="inlineStr">
        <is>
          <t>DEL-DOC-007</t>
        </is>
      </c>
      <c r="B12" s="7" t="inlineStr">
        <is>
          <t>DOC-07</t>
        </is>
      </c>
      <c r="C12" s="9" t="inlineStr">
        <is>
          <t>وثيقة النموذج التشغيلي للبنية المؤسسية</t>
        </is>
      </c>
      <c r="D12" s="7" t="inlineStr">
        <is>
          <t>الوثائق</t>
        </is>
      </c>
      <c r="E12" s="7" t="inlineStr">
        <is>
          <t>D</t>
        </is>
      </c>
      <c r="F12" s="7">
        <f>COUNTIF('Files-Mapping'!$B$2:$B$81,A12)</f>
        <v/>
      </c>
      <c r="G12" s="7">
        <f>COUNTIF(Tasks!$J$2:$J$33,"*"&amp;A12&amp;"*")</f>
        <v/>
      </c>
      <c r="H12" s="7">
        <f>IF(AND(F12&gt;0,G12&gt;0),"covered",IF(AND(F12=0,G12&gt;0),"pending-generation",IF(AND(F12&gt;0,G12=0),"orphan-files","not-applicable")))</f>
        <v/>
      </c>
    </row>
    <row r="13">
      <c r="A13" s="7" t="inlineStr">
        <is>
          <t>DEL-DOC-008</t>
        </is>
      </c>
      <c r="B13" s="7" t="inlineStr">
        <is>
          <t>DOC-08</t>
        </is>
      </c>
      <c r="C13" s="9" t="inlineStr">
        <is>
          <t>وثيقة الخطة التشغيلية للبنية المؤسسية</t>
        </is>
      </c>
      <c r="D13" s="7" t="inlineStr">
        <is>
          <t>الوثائق</t>
        </is>
      </c>
      <c r="E13" s="7" t="inlineStr">
        <is>
          <t>D</t>
        </is>
      </c>
      <c r="F13" s="7">
        <f>COUNTIF('Files-Mapping'!$B$2:$B$81,A13)</f>
        <v/>
      </c>
      <c r="G13" s="7">
        <f>COUNTIF(Tasks!$J$2:$J$33,"*"&amp;A13&amp;"*")</f>
        <v/>
      </c>
      <c r="H13" s="7">
        <f>IF(AND(F13&gt;0,G13&gt;0),"covered",IF(AND(F13=0,G13&gt;0),"pending-generation",IF(AND(F13&gt;0,G13=0),"orphan-files","not-applicable")))</f>
        <v/>
      </c>
    </row>
    <row r="14">
      <c r="A14" s="7" t="inlineStr">
        <is>
          <t>DEL-DOC-009</t>
        </is>
      </c>
      <c r="B14" s="7" t="inlineStr">
        <is>
          <t>DOC-09</t>
        </is>
      </c>
      <c r="C14" s="9" t="inlineStr">
        <is>
          <t>وثيقة خطة تعزيز الوعي</t>
        </is>
      </c>
      <c r="D14" s="7" t="inlineStr">
        <is>
          <t>الوثائق</t>
        </is>
      </c>
      <c r="E14" s="7" t="inlineStr">
        <is>
          <t>C</t>
        </is>
      </c>
      <c r="F14" s="7">
        <f>COUNTIF('Files-Mapping'!$B$2:$B$81,A14)</f>
        <v/>
      </c>
      <c r="G14" s="7">
        <f>COUNTIF(Tasks!$J$2:$J$33,"*"&amp;A14&amp;"*")</f>
        <v/>
      </c>
      <c r="H14" s="7">
        <f>IF(AND(F14&gt;0,G14&gt;0),"covered",IF(AND(F14=0,G14&gt;0),"pending-generation",IF(AND(F14&gt;0,G14=0),"orphan-files","not-applicable")))</f>
        <v/>
      </c>
    </row>
    <row r="15">
      <c r="A15" s="7" t="inlineStr">
        <is>
          <t>DEL-DOC-010</t>
        </is>
      </c>
      <c r="B15" s="7" t="inlineStr">
        <is>
          <t>DOC-10</t>
        </is>
      </c>
      <c r="C15" s="9" t="inlineStr">
        <is>
          <t>وثيقة خطة تنفيذ دراسة جدوى تبني التقنيات الحديثة والناشئة</t>
        </is>
      </c>
      <c r="D15" s="7" t="inlineStr">
        <is>
          <t>الوثائق</t>
        </is>
      </c>
      <c r="E15" s="7" t="inlineStr">
        <is>
          <t>D</t>
        </is>
      </c>
      <c r="F15" s="7">
        <f>COUNTIF('Files-Mapping'!$B$2:$B$81,A15)</f>
        <v/>
      </c>
      <c r="G15" s="7">
        <f>COUNTIF(Tasks!$J$2:$J$33,"*"&amp;A15&amp;"*")</f>
        <v/>
      </c>
      <c r="H15" s="7">
        <f>IF(AND(F15&gt;0,G15&gt;0),"covered",IF(AND(F15=0,G15&gt;0),"pending-generation",IF(AND(F15&gt;0,G15=0),"orphan-files","not-applicable")))</f>
        <v/>
      </c>
    </row>
    <row r="16">
      <c r="A16" s="7" t="inlineStr">
        <is>
          <t>DEL-DOC-011</t>
        </is>
      </c>
      <c r="B16" s="7" t="inlineStr">
        <is>
          <t>DOC-11</t>
        </is>
      </c>
      <c r="C16" s="9" t="inlineStr">
        <is>
          <t>وثيقة خطة تطوير القدرات والمهارات</t>
        </is>
      </c>
      <c r="D16" s="7" t="inlineStr">
        <is>
          <t>الوثائق</t>
        </is>
      </c>
      <c r="E16" s="7" t="inlineStr">
        <is>
          <t>C</t>
        </is>
      </c>
      <c r="F16" s="7">
        <f>COUNTIF('Files-Mapping'!$B$2:$B$81,A16)</f>
        <v/>
      </c>
      <c r="G16" s="7">
        <f>COUNTIF(Tasks!$J$2:$J$33,"*"&amp;A16&amp;"*")</f>
        <v/>
      </c>
      <c r="H16" s="7">
        <f>IF(AND(F16&gt;0,G16&gt;0),"covered",IF(AND(F16=0,G16&gt;0),"pending-generation",IF(AND(F16&gt;0,G16=0),"orphan-files","not-applicable")))</f>
        <v/>
      </c>
    </row>
    <row r="17">
      <c r="A17" s="7" t="inlineStr">
        <is>
          <t>DEL-DOC-012</t>
        </is>
      </c>
      <c r="B17" s="7" t="inlineStr">
        <is>
          <t>DOC-12</t>
        </is>
      </c>
      <c r="C17" s="9" t="inlineStr">
        <is>
          <t>وثيقة مبادئ البنية المؤسسية</t>
        </is>
      </c>
      <c r="D17" s="7" t="inlineStr">
        <is>
          <t>الوثائق</t>
        </is>
      </c>
      <c r="E17" s="7" t="inlineStr">
        <is>
          <t>C</t>
        </is>
      </c>
      <c r="F17" s="7">
        <f>COUNTIF('Files-Mapping'!$B$2:$B$81,A17)</f>
        <v/>
      </c>
      <c r="G17" s="7">
        <f>COUNTIF(Tasks!$J$2:$J$33,"*"&amp;A17&amp;"*")</f>
        <v/>
      </c>
      <c r="H17" s="7">
        <f>IF(AND(F17&gt;0,G17&gt;0),"covered",IF(AND(F17=0,G17&gt;0),"pending-generation",IF(AND(F17&gt;0,G17=0),"orphan-files","not-applicable")))</f>
        <v/>
      </c>
    </row>
    <row r="18">
      <c r="A18" s="7" t="inlineStr">
        <is>
          <t>DEL-DOC-013</t>
        </is>
      </c>
      <c r="B18" s="7" t="inlineStr">
        <is>
          <t>DOC-13</t>
        </is>
      </c>
      <c r="C18" s="9" t="inlineStr">
        <is>
          <t>وثيقة النموذج العام لمكونات البنية المؤسسية</t>
        </is>
      </c>
      <c r="D18" s="7" t="inlineStr">
        <is>
          <t>الوثائق</t>
        </is>
      </c>
      <c r="E18" s="7" t="inlineStr">
        <is>
          <t>D</t>
        </is>
      </c>
      <c r="F18" s="7">
        <f>COUNTIF('Files-Mapping'!$B$2:$B$81,A18)</f>
        <v/>
      </c>
      <c r="G18" s="7">
        <f>COUNTIF(Tasks!$J$2:$J$33,"*"&amp;A18&amp;"*")</f>
        <v/>
      </c>
      <c r="H18" s="7">
        <f>IF(AND(F18&gt;0,G18&gt;0),"covered",IF(AND(F18=0,G18&gt;0),"pending-generation",IF(AND(F18&gt;0,G18=0),"orphan-files","not-applicable")))</f>
        <v/>
      </c>
    </row>
    <row r="19">
      <c r="A19" s="7" t="inlineStr">
        <is>
          <t>DEL-DOC-014</t>
        </is>
      </c>
      <c r="B19" s="7" t="inlineStr">
        <is>
          <t>DOC-14</t>
        </is>
      </c>
      <c r="C19" s="9" t="inlineStr">
        <is>
          <t>وثيقة مناظير البنية المؤسسية</t>
        </is>
      </c>
      <c r="D19" s="7" t="inlineStr">
        <is>
          <t>الوثائق</t>
        </is>
      </c>
      <c r="E19" s="7" t="inlineStr">
        <is>
          <t>D</t>
        </is>
      </c>
      <c r="F19" s="7">
        <f>COUNTIF('Files-Mapping'!$B$2:$B$81,A19)</f>
        <v/>
      </c>
      <c r="G19" s="7">
        <f>COUNTIF(Tasks!$J$2:$J$33,"*"&amp;A19&amp;"*")</f>
        <v/>
      </c>
      <c r="H19" s="7">
        <f>IF(AND(F19&gt;0,G19&gt;0),"covered",IF(AND(F19=0,G19&gt;0),"pending-generation",IF(AND(F19&gt;0,G19=0),"orphan-files","not-applicable")))</f>
        <v/>
      </c>
    </row>
    <row r="20">
      <c r="A20" s="7" t="inlineStr">
        <is>
          <t>DEL-DOC-015</t>
        </is>
      </c>
      <c r="B20" s="7" t="inlineStr">
        <is>
          <t>DOC-15</t>
        </is>
      </c>
      <c r="C20" s="9" t="inlineStr">
        <is>
          <t>وثيقة الميثاق العام لدورات تطوير مكونات البنية المؤسسية</t>
        </is>
      </c>
      <c r="D20" s="7" t="inlineStr">
        <is>
          <t>الوثائق</t>
        </is>
      </c>
      <c r="E20" s="7" t="inlineStr">
        <is>
          <t>D</t>
        </is>
      </c>
      <c r="F20" s="7">
        <f>COUNTIF('Files-Mapping'!$B$2:$B$81,A20)</f>
        <v/>
      </c>
      <c r="G20" s="7">
        <f>COUNTIF(Tasks!$J$2:$J$33,"*"&amp;A20&amp;"*")</f>
        <v/>
      </c>
      <c r="H20" s="7">
        <f>IF(AND(F20&gt;0,G20&gt;0),"covered",IF(AND(F20=0,G20&gt;0),"pending-generation",IF(AND(F20&gt;0,G20=0),"orphan-files","not-applicable")))</f>
        <v/>
      </c>
    </row>
    <row r="21">
      <c r="A21" s="7" t="inlineStr">
        <is>
          <t>DEL-DOC-016</t>
        </is>
      </c>
      <c r="B21" s="7" t="inlineStr">
        <is>
          <t>DOC-16</t>
        </is>
      </c>
      <c r="C21" s="9" t="inlineStr">
        <is>
          <t>وثيقة ميثاق دورة تطوير مكونات البنية المؤسسية</t>
        </is>
      </c>
      <c r="D21" s="7" t="inlineStr">
        <is>
          <t>الوثائق</t>
        </is>
      </c>
      <c r="E21" s="7" t="inlineStr">
        <is>
          <t>D</t>
        </is>
      </c>
      <c r="F21" s="7">
        <f>COUNTIF('Files-Mapping'!$B$2:$B$81,A21)</f>
        <v/>
      </c>
      <c r="G21" s="7">
        <f>COUNTIF(Tasks!$J$2:$J$33,"*"&amp;A21&amp;"*")</f>
        <v/>
      </c>
      <c r="H21" s="7">
        <f>IF(AND(F21&gt;0,G21&gt;0),"covered",IF(AND(F21=0,G21&gt;0),"pending-generation",IF(AND(F21&gt;0,G21=0),"orphan-files","not-applicable")))</f>
        <v/>
      </c>
    </row>
    <row r="22">
      <c r="A22" s="7" t="inlineStr">
        <is>
          <t>DEL-DOC-017</t>
        </is>
      </c>
      <c r="B22" s="7" t="inlineStr">
        <is>
          <t>DOC-17</t>
        </is>
      </c>
      <c r="C22" s="9" t="inlineStr">
        <is>
          <t>وثيقة دورة تطوير مكونات البنية المؤسسية</t>
        </is>
      </c>
      <c r="D22" s="7" t="inlineStr">
        <is>
          <t>الوثائق</t>
        </is>
      </c>
      <c r="E22" s="7" t="inlineStr">
        <is>
          <t>D</t>
        </is>
      </c>
      <c r="F22" s="7">
        <f>COUNTIF('Files-Mapping'!$B$2:$B$81,A22)</f>
        <v/>
      </c>
      <c r="G22" s="7">
        <f>COUNTIF(Tasks!$J$2:$J$33,"*"&amp;A22&amp;"*")</f>
        <v/>
      </c>
      <c r="H22" s="7">
        <f>IF(AND(F22&gt;0,G22&gt;0),"covered",IF(AND(F22=0,G22&gt;0),"pending-generation",IF(AND(F22&gt;0,G22=0),"orphan-files","not-applicable")))</f>
        <v/>
      </c>
    </row>
    <row r="23">
      <c r="A23" s="7" t="inlineStr">
        <is>
          <t>DEL-DOC-018</t>
        </is>
      </c>
      <c r="B23" s="7" t="inlineStr">
        <is>
          <t>DOC-18</t>
        </is>
      </c>
      <c r="C23" s="9" t="inlineStr">
        <is>
          <t>وثيقة النماذج المرجعية للبنية المؤسسية</t>
        </is>
      </c>
      <c r="D23" s="7" t="inlineStr">
        <is>
          <t>الوثائق</t>
        </is>
      </c>
      <c r="E23" s="7" t="inlineStr">
        <is>
          <t>D</t>
        </is>
      </c>
      <c r="F23" s="7">
        <f>COUNTIF('Files-Mapping'!$B$2:$B$81,A23)</f>
        <v/>
      </c>
      <c r="G23" s="7">
        <f>COUNTIF(Tasks!$J$2:$J$33,"*"&amp;A23&amp;"*")</f>
        <v/>
      </c>
      <c r="H23" s="7">
        <f>IF(AND(F23&gt;0,G23&gt;0),"covered",IF(AND(F23=0,G23&gt;0),"pending-generation",IF(AND(F23&gt;0,G23=0),"orphan-files","not-applicable")))</f>
        <v/>
      </c>
    </row>
    <row r="24">
      <c r="A24" s="7" t="inlineStr">
        <is>
          <t>DEL-DOC-019</t>
        </is>
      </c>
      <c r="B24" s="7" t="inlineStr">
        <is>
          <t>DOC-19</t>
        </is>
      </c>
      <c r="C24" s="9" t="inlineStr">
        <is>
          <t>وثيقة خارطة الطريق للتحول الرقمي</t>
        </is>
      </c>
      <c r="D24" s="7" t="inlineStr">
        <is>
          <t>الوثائق</t>
        </is>
      </c>
      <c r="E24" s="7" t="inlineStr">
        <is>
          <t>E</t>
        </is>
      </c>
      <c r="F24" s="7">
        <f>COUNTIF('Files-Mapping'!$B$2:$B$81,A24)</f>
        <v/>
      </c>
      <c r="G24" s="7">
        <f>COUNTIF(Tasks!$J$2:$J$33,"*"&amp;A24&amp;"*")</f>
        <v/>
      </c>
      <c r="H24" s="7">
        <f>IF(AND(F24&gt;0,G24&gt;0),"covered",IF(AND(F24=0,G24&gt;0),"pending-generation",IF(AND(F24&gt;0,G24=0),"orphan-files","not-applicable")))</f>
        <v/>
      </c>
    </row>
    <row r="25">
      <c r="A25" s="7" t="inlineStr">
        <is>
          <t>DEL-DOC-020</t>
        </is>
      </c>
      <c r="B25" s="7" t="inlineStr">
        <is>
          <t>DOC-20</t>
        </is>
      </c>
      <c r="C25" s="9" t="inlineStr">
        <is>
          <t>وثيقة متطلبات البنية المؤسسية</t>
        </is>
      </c>
      <c r="D25" s="7" t="inlineStr">
        <is>
          <t>الوثائق</t>
        </is>
      </c>
      <c r="E25" s="7" t="inlineStr">
        <is>
          <t>D</t>
        </is>
      </c>
      <c r="F25" s="7">
        <f>COUNTIF('Files-Mapping'!$B$2:$B$81,A25)</f>
        <v/>
      </c>
      <c r="G25" s="7">
        <f>COUNTIF(Tasks!$J$2:$J$33,"*"&amp;A25&amp;"*")</f>
        <v/>
      </c>
      <c r="H25" s="7">
        <f>IF(AND(F25&gt;0,G25&gt;0),"covered",IF(AND(F25=0,G25&gt;0),"pending-generation",IF(AND(F25&gt;0,G25=0),"orphan-files","not-applicable")))</f>
        <v/>
      </c>
    </row>
    <row r="26">
      <c r="A26" s="7" t="inlineStr">
        <is>
          <t>DEL-RPT-001</t>
        </is>
      </c>
      <c r="B26" s="7" t="inlineStr">
        <is>
          <t>RPT-01</t>
        </is>
      </c>
      <c r="C26" s="9" t="inlineStr">
        <is>
          <t>التقرير الشهري لحالة انجاز أعمال البنية المؤسسية</t>
        </is>
      </c>
      <c r="D26" s="7" t="inlineStr">
        <is>
          <t>التقارير</t>
        </is>
      </c>
      <c r="E26" s="7" t="inlineStr">
        <is>
          <t>F</t>
        </is>
      </c>
      <c r="F26" s="7">
        <f>COUNTIF('Files-Mapping'!$B$2:$B$81,A26)</f>
        <v/>
      </c>
      <c r="G26" s="7">
        <f>COUNTIF(Tasks!$J$2:$J$33,"*"&amp;A26&amp;"*")</f>
        <v/>
      </c>
      <c r="H26" s="7">
        <f>IF(AND(F26&gt;0,G26&gt;0),"covered",IF(AND(F26=0,G26&gt;0),"pending-generation",IF(AND(F26&gt;0,G26=0),"orphan-files","not-applicable")))</f>
        <v/>
      </c>
    </row>
    <row r="27">
      <c r="A27" s="7" t="inlineStr">
        <is>
          <t>DEL-RPT-002</t>
        </is>
      </c>
      <c r="B27" s="7" t="inlineStr">
        <is>
          <t>RPT-02</t>
        </is>
      </c>
      <c r="C27" s="9" t="inlineStr">
        <is>
          <t>التقرير الربعي لحالة انجاز أعمال البنية المؤسسية</t>
        </is>
      </c>
      <c r="D27" s="7" t="inlineStr">
        <is>
          <t>التقارير</t>
        </is>
      </c>
      <c r="E27" s="7" t="inlineStr">
        <is>
          <t>F</t>
        </is>
      </c>
      <c r="F27" s="7">
        <f>COUNTIF('Files-Mapping'!$B$2:$B$81,A27)</f>
        <v/>
      </c>
      <c r="G27" s="7">
        <f>COUNTIF(Tasks!$J$2:$J$33,"*"&amp;A27&amp;"*")</f>
        <v/>
      </c>
      <c r="H27" s="7">
        <f>IF(AND(F27&gt;0,G27&gt;0),"covered",IF(AND(F27=0,G27&gt;0),"pending-generation",IF(AND(F27&gt;0,G27=0),"orphan-files","not-applicable")))</f>
        <v/>
      </c>
    </row>
    <row r="28">
      <c r="A28" s="7" t="inlineStr">
        <is>
          <t>DEL-RPT-003</t>
        </is>
      </c>
      <c r="B28" s="7" t="inlineStr">
        <is>
          <t>RPT-03</t>
        </is>
      </c>
      <c r="C28" s="9" t="inlineStr">
        <is>
          <t>التقرير السنوي لحالة انجاز أعمال البنية المؤسسية</t>
        </is>
      </c>
      <c r="D28" s="7" t="inlineStr">
        <is>
          <t>التقارير</t>
        </is>
      </c>
      <c r="E28" s="7" t="inlineStr">
        <is>
          <t>F</t>
        </is>
      </c>
      <c r="F28" s="7">
        <f>COUNTIF('Files-Mapping'!$B$2:$B$81,A28)</f>
        <v/>
      </c>
      <c r="G28" s="7">
        <f>COUNTIF(Tasks!$J$2:$J$33,"*"&amp;A28&amp;"*")</f>
        <v/>
      </c>
      <c r="H28" s="7">
        <f>IF(AND(F28&gt;0,G28&gt;0),"covered",IF(AND(F28=0,G28&gt;0),"pending-generation",IF(AND(F28&gt;0,G28=0),"orphan-files","not-applicable")))</f>
        <v/>
      </c>
    </row>
    <row r="29">
      <c r="A29" s="7" t="inlineStr">
        <is>
          <t>DEL-RPT-004</t>
        </is>
      </c>
      <c r="B29" s="7" t="inlineStr">
        <is>
          <t>RPT-04</t>
        </is>
      </c>
      <c r="C29" s="9" t="inlineStr">
        <is>
          <t>تقرير انتهاء دورات تطوير مكونات البنية المؤسسية</t>
        </is>
      </c>
      <c r="D29" s="7" t="inlineStr">
        <is>
          <t>التقارير</t>
        </is>
      </c>
      <c r="E29" s="7" t="inlineStr">
        <is>
          <t>F</t>
        </is>
      </c>
      <c r="F29" s="7">
        <f>COUNTIF('Files-Mapping'!$B$2:$B$81,A29)</f>
        <v/>
      </c>
      <c r="G29" s="7">
        <f>COUNTIF(Tasks!$J$2:$J$33,"*"&amp;A29&amp;"*")</f>
        <v/>
      </c>
      <c r="H29" s="7">
        <f>IF(AND(F29&gt;0,G29&gt;0),"covered",IF(AND(F29=0,G29&gt;0),"pending-generation",IF(AND(F29&gt;0,G29=0),"orphan-files","not-applicable")))</f>
        <v/>
      </c>
    </row>
    <row r="30">
      <c r="A30" s="7" t="inlineStr">
        <is>
          <t>DEL-RPT-005</t>
        </is>
      </c>
      <c r="B30" s="7" t="inlineStr">
        <is>
          <t>RPT-05</t>
        </is>
      </c>
      <c r="C30" s="9" t="inlineStr">
        <is>
          <t>تقرير حالات دراسية لتطبيقات التقنيات الناشئة والحديثة</t>
        </is>
      </c>
      <c r="D30" s="7" t="inlineStr">
        <is>
          <t>التقارير</t>
        </is>
      </c>
      <c r="E30" s="7" t="inlineStr">
        <is>
          <t>F</t>
        </is>
      </c>
      <c r="F30" s="7">
        <f>COUNTIF('Files-Mapping'!$B$2:$B$81,A30)</f>
        <v/>
      </c>
      <c r="G30" s="7">
        <f>COUNTIF(Tasks!$J$2:$J$33,"*"&amp;A30&amp;"*")</f>
        <v/>
      </c>
      <c r="H30" s="7">
        <f>IF(AND(F30&gt;0,G30&gt;0),"covered",IF(AND(F30=0,G30&gt;0),"pending-generation",IF(AND(F30&gt;0,G30=0),"orphan-files","not-applicable")))</f>
        <v/>
      </c>
    </row>
    <row r="31">
      <c r="A31" s="7" t="inlineStr">
        <is>
          <t>DEL-RPT-006</t>
        </is>
      </c>
      <c r="B31" s="7" t="inlineStr">
        <is>
          <t>RPT-06</t>
        </is>
      </c>
      <c r="C31" s="9" t="inlineStr">
        <is>
          <t>تقرير دراسة مقارنة معيارية وتحديد أداة البنية المؤسسية وتقييمها</t>
        </is>
      </c>
      <c r="D31" s="7" t="inlineStr">
        <is>
          <t>التقارير</t>
        </is>
      </c>
      <c r="E31" s="7" t="inlineStr">
        <is>
          <t>F</t>
        </is>
      </c>
      <c r="F31" s="7">
        <f>COUNTIF('Files-Mapping'!$B$2:$B$81,A31)</f>
        <v/>
      </c>
      <c r="G31" s="7">
        <f>COUNTIF(Tasks!$J$2:$J$33,"*"&amp;A31&amp;"*")</f>
        <v/>
      </c>
      <c r="H31" s="7">
        <f>IF(AND(F31&gt;0,G31&gt;0),"covered",IF(AND(F31=0,G31&gt;0),"pending-generation",IF(AND(F31&gt;0,G31=0),"orphan-files","not-applicable")))</f>
        <v/>
      </c>
    </row>
    <row r="32">
      <c r="A32" s="7" t="inlineStr">
        <is>
          <t>DEL-RPT-007</t>
        </is>
      </c>
      <c r="B32" s="7" t="inlineStr">
        <is>
          <t>RPT-07</t>
        </is>
      </c>
      <c r="C32" s="9" t="inlineStr">
        <is>
          <t>تقرير دراسة أثر التغيير على متطلبات البنية المؤسسية</t>
        </is>
      </c>
      <c r="D32" s="7" t="inlineStr">
        <is>
          <t>التقارير</t>
        </is>
      </c>
      <c r="E32" s="7" t="inlineStr">
        <is>
          <t>F</t>
        </is>
      </c>
      <c r="F32" s="7">
        <f>COUNTIF('Files-Mapping'!$B$2:$B$81,A32)</f>
        <v/>
      </c>
      <c r="G32" s="7">
        <f>COUNTIF(Tasks!$J$2:$J$33,"*"&amp;A32&amp;"*")</f>
        <v/>
      </c>
      <c r="H32" s="7">
        <f>IF(AND(F32&gt;0,G32&gt;0),"covered",IF(AND(F32=0,G32&gt;0),"pending-generation",IF(AND(F32&gt;0,G32=0),"orphan-files","not-applicable")))</f>
        <v/>
      </c>
    </row>
    <row r="33">
      <c r="A33" s="7" t="inlineStr">
        <is>
          <t>DEL-RPT-008</t>
        </is>
      </c>
      <c r="B33" s="7" t="inlineStr">
        <is>
          <t>RPT-08</t>
        </is>
      </c>
      <c r="C33" s="9" t="inlineStr">
        <is>
          <t>تقرير دراسة أثر التغيير على مبادئ البنية المؤسسية</t>
        </is>
      </c>
      <c r="D33" s="7" t="inlineStr">
        <is>
          <t>التقارير</t>
        </is>
      </c>
      <c r="E33" s="7" t="inlineStr">
        <is>
          <t>F</t>
        </is>
      </c>
      <c r="F33" s="7">
        <f>COUNTIF('Files-Mapping'!$B$2:$B$81,A33)</f>
        <v/>
      </c>
      <c r="G33" s="7">
        <f>COUNTIF(Tasks!$J$2:$J$33,"*"&amp;A33&amp;"*")</f>
        <v/>
      </c>
      <c r="H33" s="7">
        <f>IF(AND(F33&gt;0,G33&gt;0),"covered",IF(AND(F33=0,G33&gt;0),"pending-generation",IF(AND(F33&gt;0,G33=0),"orphan-files","not-applicable")))</f>
        <v/>
      </c>
    </row>
    <row r="34">
      <c r="A34" s="7" t="inlineStr">
        <is>
          <t>DEL-RPT-009</t>
        </is>
      </c>
      <c r="B34" s="7" t="inlineStr">
        <is>
          <t>RPT-09</t>
        </is>
      </c>
      <c r="C34" s="9" t="inlineStr">
        <is>
          <t>تقرير الامتثال لمبادئ البنية المؤسسية</t>
        </is>
      </c>
      <c r="D34" s="7" t="inlineStr">
        <is>
          <t>التقارير</t>
        </is>
      </c>
      <c r="E34" s="7" t="inlineStr">
        <is>
          <t>F</t>
        </is>
      </c>
      <c r="F34" s="7">
        <f>COUNTIF('Files-Mapping'!$B$2:$B$81,A34)</f>
        <v/>
      </c>
      <c r="G34" s="7">
        <f>COUNTIF(Tasks!$J$2:$J$33,"*"&amp;A34&amp;"*")</f>
        <v/>
      </c>
      <c r="H34" s="7">
        <f>IF(AND(F34&gt;0,G34&gt;0),"covered",IF(AND(F34=0,G34&gt;0),"pending-generation",IF(AND(F34&gt;0,G34=0),"orphan-files","not-applicable")))</f>
        <v/>
      </c>
    </row>
    <row r="35">
      <c r="A35" s="7" t="inlineStr">
        <is>
          <t>DEL-DEC-001</t>
        </is>
      </c>
      <c r="B35" s="7" t="inlineStr">
        <is>
          <t>DEC-01</t>
        </is>
      </c>
      <c r="C35" s="9" t="inlineStr">
        <is>
          <t>قرارات تعيين و/أو تكليف رسمي لفريق عمل الوحدة التنظيمية للبنية المؤسسية</t>
        </is>
      </c>
      <c r="D35" s="7" t="inlineStr">
        <is>
          <t>القرارات</t>
        </is>
      </c>
      <c r="E35" s="7" t="inlineStr">
        <is>
          <t>B</t>
        </is>
      </c>
      <c r="F35" s="7">
        <f>COUNTIF('Files-Mapping'!$B$2:$B$81,A35)</f>
        <v/>
      </c>
      <c r="G35" s="7">
        <f>COUNTIF(Tasks!$J$2:$J$33,"*"&amp;A35&amp;"*")</f>
        <v/>
      </c>
      <c r="H35" s="7">
        <f>IF(AND(F35&gt;0,G35&gt;0),"covered",IF(AND(F35=0,G35&gt;0),"pending-generation",IF(AND(F35&gt;0,G35=0),"orphan-files","not-applicable")))</f>
        <v/>
      </c>
    </row>
    <row r="36">
      <c r="A36" s="7" t="inlineStr">
        <is>
          <t>DEL-DEC-002</t>
        </is>
      </c>
      <c r="B36" s="7" t="inlineStr">
        <is>
          <t>DEC-02</t>
        </is>
      </c>
      <c r="C36" s="9" t="inlineStr">
        <is>
          <t>قرار تعيين كبير مهندسي البنية المؤسسية (مدير الوحدة التنظيمية)</t>
        </is>
      </c>
      <c r="D36" s="7" t="inlineStr">
        <is>
          <t>القرارات</t>
        </is>
      </c>
      <c r="E36" s="7" t="inlineStr">
        <is>
          <t>B</t>
        </is>
      </c>
      <c r="F36" s="7">
        <f>COUNTIF('Files-Mapping'!$B$2:$B$81,A36)</f>
        <v/>
      </c>
      <c r="G36" s="7">
        <f>COUNTIF(Tasks!$J$2:$J$33,"*"&amp;A36&amp;"*")</f>
        <v/>
      </c>
      <c r="H36" s="7">
        <f>IF(AND(F36&gt;0,G36&gt;0),"covered",IF(AND(F36=0,G36&gt;0),"pending-generation",IF(AND(F36&gt;0,G36=0),"orphan-files","not-applicable")))</f>
        <v/>
      </c>
    </row>
    <row r="37">
      <c r="A37" s="7" t="inlineStr">
        <is>
          <t>DEL-DEC-003</t>
        </is>
      </c>
      <c r="B37" s="7" t="inlineStr">
        <is>
          <t>DEC-03</t>
        </is>
      </c>
      <c r="C37" s="9" t="inlineStr">
        <is>
          <t>قرار تأسيس الوحدة التنظيمية للبنية المؤسسية</t>
        </is>
      </c>
      <c r="D37" s="7" t="inlineStr">
        <is>
          <t>القرارات</t>
        </is>
      </c>
      <c r="E37" s="7" t="inlineStr">
        <is>
          <t>B</t>
        </is>
      </c>
      <c r="F37" s="7">
        <f>COUNTIF('Files-Mapping'!$B$2:$B$81,A37)</f>
        <v/>
      </c>
      <c r="G37" s="7">
        <f>COUNTIF(Tasks!$J$2:$J$33,"*"&amp;A37&amp;"*")</f>
        <v/>
      </c>
      <c r="H37" s="7">
        <f>IF(AND(F37&gt;0,G37&gt;0),"covered",IF(AND(F37=0,G37&gt;0),"pending-generation",IF(AND(F37&gt;0,G37=0),"orphan-files","not-applicable")))</f>
        <v/>
      </c>
    </row>
    <row r="38">
      <c r="A38" s="7" t="inlineStr">
        <is>
          <t>DEL-DEC-004</t>
        </is>
      </c>
      <c r="B38" s="7" t="inlineStr">
        <is>
          <t>DEC-04</t>
        </is>
      </c>
      <c r="C38" s="9" t="inlineStr">
        <is>
          <t>قرار تشكيل لجنة حوكمة البنية المؤسسية</t>
        </is>
      </c>
      <c r="D38" s="7" t="inlineStr">
        <is>
          <t>القرارات</t>
        </is>
      </c>
      <c r="E38" s="7" t="inlineStr">
        <is>
          <t>B</t>
        </is>
      </c>
      <c r="F38" s="7">
        <f>COUNTIF('Files-Mapping'!$B$2:$B$81,A38)</f>
        <v/>
      </c>
      <c r="G38" s="7">
        <f>COUNTIF(Tasks!$J$2:$J$33,"*"&amp;A38&amp;"*")</f>
        <v/>
      </c>
      <c r="H38" s="7">
        <f>IF(AND(F38&gt;0,G38&gt;0),"covered",IF(AND(F38=0,G38&gt;0),"pending-generation",IF(AND(F38&gt;0,G38=0),"orphan-files","not-applicable")))</f>
        <v/>
      </c>
    </row>
    <row r="39">
      <c r="A39" s="7" t="inlineStr">
        <is>
          <t>DEL-DEC-005</t>
        </is>
      </c>
      <c r="B39" s="7" t="inlineStr">
        <is>
          <t>DEC-05</t>
        </is>
      </c>
      <c r="C39" s="9" t="inlineStr">
        <is>
          <t>قرار تعميم ونشر نموذج الحوكمة</t>
        </is>
      </c>
      <c r="D39" s="7" t="inlineStr">
        <is>
          <t>القرارات</t>
        </is>
      </c>
      <c r="E39" s="7" t="inlineStr">
        <is>
          <t>B</t>
        </is>
      </c>
      <c r="F39" s="7">
        <f>COUNTIF('Files-Mapping'!$B$2:$B$81,A39)</f>
        <v/>
      </c>
      <c r="G39" s="7">
        <f>COUNTIF(Tasks!$J$2:$J$33,"*"&amp;A39&amp;"*")</f>
        <v/>
      </c>
      <c r="H39" s="7">
        <f>IF(AND(F39&gt;0,G39&gt;0),"covered",IF(AND(F39=0,G39&gt;0),"pending-generation",IF(AND(F39&gt;0,G39=0),"orphan-files","not-applicable")))</f>
        <v/>
      </c>
    </row>
    <row r="40">
      <c r="A40" s="7" t="inlineStr">
        <is>
          <t>DEL-MIN-001</t>
        </is>
      </c>
      <c r="B40" s="7" t="inlineStr">
        <is>
          <t>MIN-01</t>
        </is>
      </c>
      <c r="C40" s="9" t="inlineStr">
        <is>
          <t>محاضر اعتماد مخرجات ممارسة البنية المؤسسية</t>
        </is>
      </c>
      <c r="D40" s="7" t="inlineStr">
        <is>
          <t>المحاضر</t>
        </is>
      </c>
      <c r="E40" s="7" t="inlineStr">
        <is>
          <t>F</t>
        </is>
      </c>
      <c r="F40" s="7">
        <f>COUNTIF('Files-Mapping'!$B$2:$B$81,A40)</f>
        <v/>
      </c>
      <c r="G40" s="7">
        <f>COUNTIF(Tasks!$J$2:$J$33,"*"&amp;A40&amp;"*")</f>
        <v/>
      </c>
      <c r="H40" s="7">
        <f>IF(AND(F40&gt;0,G40&gt;0),"covered",IF(AND(F40=0,G40&gt;0),"pending-generation",IF(AND(F40&gt;0,G40=0),"orphan-files","not-applicable")))</f>
        <v/>
      </c>
    </row>
    <row r="41">
      <c r="A41" s="7" t="inlineStr">
        <is>
          <t>DEL-MIN-002</t>
        </is>
      </c>
      <c r="B41" s="7" t="inlineStr">
        <is>
          <t>MIN-02</t>
        </is>
      </c>
      <c r="C41" s="9" t="inlineStr">
        <is>
          <t>محاضر اجتماعات اللجان الرقمية (آخر 4 اجتماعات لكل لجنة)</t>
        </is>
      </c>
      <c r="D41" s="7" t="inlineStr">
        <is>
          <t>المحاضر</t>
        </is>
      </c>
      <c r="E41" s="7" t="inlineStr">
        <is>
          <t>F</t>
        </is>
      </c>
      <c r="F41" s="7">
        <f>COUNTIF('Files-Mapping'!$B$2:$B$81,A41)</f>
        <v/>
      </c>
      <c r="G41" s="7">
        <f>COUNTIF(Tasks!$J$2:$J$33,"*"&amp;A41&amp;"*")</f>
        <v/>
      </c>
      <c r="H41" s="7">
        <f>IF(AND(F41&gt;0,G41&gt;0),"covered",IF(AND(F41=0,G41&gt;0),"pending-generation",IF(AND(F41&gt;0,G41=0),"orphan-files","not-applicable")))</f>
        <v/>
      </c>
    </row>
    <row r="42">
      <c r="A42" s="7" t="inlineStr">
        <is>
          <t>DEL-EVI-001</t>
        </is>
      </c>
      <c r="B42" s="7" t="inlineStr">
        <is>
          <t>EVI-01</t>
        </is>
      </c>
      <c r="C42" s="9" t="inlineStr">
        <is>
          <t>إنجاز خطة تطوير القدرات والمهارات</t>
        </is>
      </c>
      <c r="D42" s="7" t="inlineStr">
        <is>
          <t>الشواهد</t>
        </is>
      </c>
      <c r="E42" s="7" t="inlineStr">
        <is>
          <t>F</t>
        </is>
      </c>
      <c r="F42" s="7">
        <f>COUNTIF('Files-Mapping'!$B$2:$B$81,A42)</f>
        <v/>
      </c>
      <c r="G42" s="7">
        <f>COUNTIF(Tasks!$J$2:$J$33,"*"&amp;A42&amp;"*")</f>
        <v/>
      </c>
      <c r="H42" s="7">
        <f>IF(AND(F42&gt;0,G42&gt;0),"covered",IF(AND(F42=0,G42&gt;0),"pending-generation",IF(AND(F42&gt;0,G42=0),"orphan-files","not-applicable")))</f>
        <v/>
      </c>
    </row>
    <row r="43">
      <c r="A43" s="7" t="inlineStr">
        <is>
          <t>DEL-EVI-002</t>
        </is>
      </c>
      <c r="B43" s="7" t="inlineStr">
        <is>
          <t>EVI-02</t>
        </is>
      </c>
      <c r="C43" s="9" t="inlineStr">
        <is>
          <t>إنجاز خطة تعزيز الوعي</t>
        </is>
      </c>
      <c r="D43" s="7" t="inlineStr">
        <is>
          <t>الشواهد</t>
        </is>
      </c>
      <c r="E43" s="7" t="inlineStr">
        <is>
          <t>F</t>
        </is>
      </c>
      <c r="F43" s="7">
        <f>COUNTIF('Files-Mapping'!$B$2:$B$81,A43)</f>
        <v/>
      </c>
      <c r="G43" s="7">
        <f>COUNTIF(Tasks!$J$2:$J$33,"*"&amp;A43&amp;"*")</f>
        <v/>
      </c>
      <c r="H43" s="7">
        <f>IF(AND(F43&gt;0,G43&gt;0),"covered",IF(AND(F43=0,G43&gt;0),"pending-generation",IF(AND(F43&gt;0,G43=0),"orphan-files","not-applicable")))</f>
        <v/>
      </c>
    </row>
    <row r="44">
      <c r="A44" s="7" t="inlineStr">
        <is>
          <t>DEL-EVI-003</t>
        </is>
      </c>
      <c r="B44" s="7" t="inlineStr">
        <is>
          <t>EVI-03</t>
        </is>
      </c>
      <c r="C44" s="9" t="inlineStr">
        <is>
          <t>رقمنة خدمات البنية المؤسسية</t>
        </is>
      </c>
      <c r="D44" s="7" t="inlineStr">
        <is>
          <t>الشواهد</t>
        </is>
      </c>
      <c r="E44" s="7" t="inlineStr">
        <is>
          <t>F</t>
        </is>
      </c>
      <c r="F44" s="7">
        <f>COUNTIF('Files-Mapping'!$B$2:$B$81,A44)</f>
        <v/>
      </c>
      <c r="G44" s="7">
        <f>COUNTIF(Tasks!$J$2:$J$33,"*"&amp;A44&amp;"*")</f>
        <v/>
      </c>
      <c r="H44" s="7">
        <f>IF(AND(F44&gt;0,G44&gt;0),"covered",IF(AND(F44=0,G44&gt;0),"pending-generation",IF(AND(F44&gt;0,G44=0),"orphan-files","not-applicable")))</f>
        <v/>
      </c>
    </row>
    <row r="45">
      <c r="A45" s="7" t="inlineStr">
        <is>
          <t>DEL-EVI-004</t>
        </is>
      </c>
      <c r="B45" s="7" t="inlineStr">
        <is>
          <t>EVI-04</t>
        </is>
      </c>
      <c r="C45" s="9" t="inlineStr">
        <is>
          <t>رقمنة إجراءات عمل البنية المؤسسية</t>
        </is>
      </c>
      <c r="D45" s="7" t="inlineStr">
        <is>
          <t>الشواهد</t>
        </is>
      </c>
      <c r="E45" s="7" t="inlineStr">
        <is>
          <t>F</t>
        </is>
      </c>
      <c r="F45" s="7">
        <f>COUNTIF('Files-Mapping'!$B$2:$B$81,A45)</f>
        <v/>
      </c>
      <c r="G45" s="7">
        <f>COUNTIF(Tasks!$J$2:$J$33,"*"&amp;A45&amp;"*")</f>
        <v/>
      </c>
      <c r="H45" s="7">
        <f>IF(AND(F45&gt;0,G45&gt;0),"covered",IF(AND(F45=0,G45&gt;0),"pending-generation",IF(AND(F45&gt;0,G45=0),"orphan-files","not-applicable")))</f>
        <v/>
      </c>
    </row>
    <row r="46">
      <c r="A46" s="7" t="inlineStr">
        <is>
          <t>DEL-EVI-005</t>
        </is>
      </c>
      <c r="B46" s="7" t="inlineStr">
        <is>
          <t>EVI-05</t>
        </is>
      </c>
      <c r="C46" s="9" t="inlineStr">
        <is>
          <t>انجاز أعمال البنية المؤسسية عبر التكامل مع الوحدات التنظيمية</t>
        </is>
      </c>
      <c r="D46" s="7" t="inlineStr">
        <is>
          <t>الشواهد</t>
        </is>
      </c>
      <c r="E46" s="7" t="inlineStr">
        <is>
          <t>F</t>
        </is>
      </c>
      <c r="F46" s="7">
        <f>COUNTIF('Files-Mapping'!$B$2:$B$81,A46)</f>
        <v/>
      </c>
      <c r="G46" s="7">
        <f>COUNTIF(Tasks!$J$2:$J$33,"*"&amp;A46&amp;"*")</f>
        <v/>
      </c>
      <c r="H46" s="7">
        <f>IF(AND(F46&gt;0,G46&gt;0),"covered",IF(AND(F46=0,G46&gt;0),"pending-generation",IF(AND(F46&gt;0,G46=0),"orphan-files","not-applicable")))</f>
        <v/>
      </c>
    </row>
    <row r="47">
      <c r="A47" s="7" t="inlineStr">
        <is>
          <t>DEL-OTH-001</t>
        </is>
      </c>
      <c r="B47" s="7" t="inlineStr">
        <is>
          <t>OTH-01</t>
        </is>
      </c>
      <c r="C47" s="9" t="inlineStr">
        <is>
          <t>عقود تشغيلية و/أو استشارية لفريق عمل الوحدة التنظيمية للبنية المؤسسية</t>
        </is>
      </c>
      <c r="D47" s="7" t="inlineStr">
        <is>
          <t>ملفات أخرى</t>
        </is>
      </c>
      <c r="E47" s="7" t="inlineStr">
        <is>
          <t>B</t>
        </is>
      </c>
      <c r="F47" s="7">
        <f>COUNTIF('Files-Mapping'!$B$2:$B$81,A47)</f>
        <v/>
      </c>
      <c r="G47" s="7">
        <f>COUNTIF(Tasks!$J$2:$J$33,"*"&amp;A47&amp;"*")</f>
        <v/>
      </c>
      <c r="H47" s="7">
        <f>IF(AND(F47&gt;0,G47&gt;0),"covered",IF(AND(F47=0,G47&gt;0),"pending-generation",IF(AND(F47&gt;0,G47=0),"orphan-files","not-applicable")))</f>
        <v/>
      </c>
    </row>
    <row r="48">
      <c r="A48" s="7" t="inlineStr">
        <is>
          <t>DEL-OTH-002</t>
        </is>
      </c>
      <c r="B48" s="7" t="inlineStr">
        <is>
          <t>OTH-02</t>
        </is>
      </c>
      <c r="C48" s="9" t="inlineStr">
        <is>
          <t>سجل أصحاب المصلحة الداخليين والخارجيين</t>
        </is>
      </c>
      <c r="D48" s="7" t="inlineStr">
        <is>
          <t>ملفات أخرى</t>
        </is>
      </c>
      <c r="E48" s="7" t="inlineStr">
        <is>
          <t>B</t>
        </is>
      </c>
      <c r="F48" s="7">
        <f>COUNTIF('Files-Mapping'!$B$2:$B$81,A48)</f>
        <v/>
      </c>
      <c r="G48" s="7">
        <f>COUNTIF(Tasks!$J$2:$J$33,"*"&amp;A48&amp;"*")</f>
        <v/>
      </c>
      <c r="H48" s="7">
        <f>IF(AND(F48&gt;0,G48&gt;0),"covered",IF(AND(F48=0,G48&gt;0),"pending-generation",IF(AND(F48&gt;0,G48=0),"orphan-files","not-applicable")))</f>
        <v/>
      </c>
    </row>
    <row r="49">
      <c r="A49" s="7" t="inlineStr">
        <is>
          <t>DEL-OTH-003</t>
        </is>
      </c>
      <c r="B49" s="7" t="inlineStr">
        <is>
          <t>OTH-03</t>
        </is>
      </c>
      <c r="C49" s="9" t="inlineStr">
        <is>
          <t>نماذج موحدة لحصر بيانات مكونات البنية المؤسسية</t>
        </is>
      </c>
      <c r="D49" s="7" t="inlineStr">
        <is>
          <t>ملفات أخرى</t>
        </is>
      </c>
      <c r="E49" s="7" t="inlineStr">
        <is>
          <t>B</t>
        </is>
      </c>
      <c r="F49" s="7">
        <f>COUNTIF('Files-Mapping'!$B$2:$B$81,A49)</f>
        <v/>
      </c>
      <c r="G49" s="7">
        <f>COUNTIF(Tasks!$J$2:$J$33,"*"&amp;A49&amp;"*")</f>
        <v/>
      </c>
      <c r="H49" s="7">
        <f>IF(AND(F49&gt;0,G49&gt;0),"covered",IF(AND(F49=0,G49&gt;0),"pending-generation",IF(AND(F49&gt;0,G49=0),"orphan-files","not-applicable")))</f>
        <v/>
      </c>
    </row>
    <row r="50">
      <c r="A50" s="7" t="inlineStr">
        <is>
          <t>DEL-OTH-004</t>
        </is>
      </c>
      <c r="B50" s="7" t="inlineStr">
        <is>
          <t>OTH-04</t>
        </is>
      </c>
      <c r="C50" s="9" t="inlineStr">
        <is>
          <t>بطاقات الوصف الوظيفي</t>
        </is>
      </c>
      <c r="D50" s="7" t="inlineStr">
        <is>
          <t>ملفات أخرى</t>
        </is>
      </c>
      <c r="E50" s="7" t="inlineStr">
        <is>
          <t>B</t>
        </is>
      </c>
      <c r="F50" s="7">
        <f>COUNTIF('Files-Mapping'!$B$2:$B$81,A50)</f>
        <v/>
      </c>
      <c r="G50" s="7">
        <f>COUNTIF(Tasks!$J$2:$J$33,"*"&amp;A50&amp;"*")</f>
        <v/>
      </c>
      <c r="H50" s="7">
        <f>IF(AND(F50&gt;0,G50&gt;0),"covered",IF(AND(F50=0,G50&gt;0),"pending-generation",IF(AND(F50&gt;0,G50=0),"orphan-files","not-applicable")))</f>
        <v/>
      </c>
    </row>
    <row r="51"/>
    <row r="52"/>
    <row r="53">
      <c r="A53" s="25" t="inlineStr">
        <is>
          <t>Coverage Summary</t>
        </is>
      </c>
    </row>
    <row r="54">
      <c r="A54" s="23" t="inlineStr">
        <is>
          <t>Total deliverables:</t>
        </is>
      </c>
      <c r="C54">
        <f>COUNTA(A2:A50)</f>
        <v/>
      </c>
    </row>
    <row r="55">
      <c r="A55" s="23" t="inlineStr">
        <is>
          <t>Covered (files + tasks):</t>
        </is>
      </c>
      <c r="C55">
        <f>COUNTIF(H2:H50,"covered")</f>
        <v/>
      </c>
    </row>
    <row r="56">
      <c r="A56" s="23" t="inlineStr">
        <is>
          <t>Pending generation (M3+M4):</t>
        </is>
      </c>
      <c r="C56">
        <f>COUNTIF(H2:H50,"pending-generation")</f>
        <v/>
      </c>
    </row>
    <row r="57">
      <c r="A57" s="23" t="inlineStr">
        <is>
          <t>Orphan files (no task ref):</t>
        </is>
      </c>
      <c r="C57">
        <f>COUNTIF(H2:H50,"orphan-files")</f>
        <v/>
      </c>
    </row>
    <row r="58">
      <c r="A58" s="23" t="inlineStr">
        <is>
          <t>Not applicable (placeholders):</t>
        </is>
      </c>
      <c r="C58">
        <f>COUNTIF(H2:H50,"not-applicable")</f>
        <v/>
      </c>
    </row>
  </sheetData>
  <conditionalFormatting sqref="H2:H50">
    <cfRule type="cellIs" priority="1" operator="equal" dxfId="0">
      <formula>"covered"</formula>
    </cfRule>
    <cfRule type="cellIs" priority="2" operator="equal" dxfId="2">
      <formula>"pending-generation"</formula>
    </cfRule>
    <cfRule type="cellIs" priority="3" operator="equal" dxfId="1">
      <formula>"partial"</formula>
    </cfRule>
    <cfRule type="cellIs" priority="4" operator="equal" dxfId="12">
      <formula>"orphan-files"</formula>
    </cfRule>
    <cfRule type="cellIs" priority="5" operator="equal" dxfId="4">
      <formula>"not-applicable"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rightToLeft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>
      <c r="A1" s="6" t="inlineStr">
        <is>
          <t>month</t>
        </is>
      </c>
      <c r="B1" s="20" t="inlineStr">
        <is>
          <t>foundation</t>
        </is>
      </c>
      <c r="C1" s="20" t="inlineStr">
        <is>
          <t>cycle_1</t>
        </is>
      </c>
      <c r="D1" s="20" t="inlineStr">
        <is>
          <t>cycle_2_trigger</t>
        </is>
      </c>
      <c r="E1" s="20" t="inlineStr">
        <is>
          <t>cycle_2</t>
        </is>
      </c>
      <c r="F1" s="20" t="inlineStr">
        <is>
          <t>submission</t>
        </is>
      </c>
      <c r="G1" s="20" t="inlineStr">
        <is>
          <t>total_active</t>
        </is>
      </c>
    </row>
    <row r="2">
      <c r="A2" s="27" t="n">
        <v>45474</v>
      </c>
      <c r="B2" s="28">
        <f>COUNTIFS(Tasks!$C$2:$C$33,"foundation",Tasks!$F$2:$F$33,"&lt;="&amp;EOMONTH($A2,0),Tasks!$H$2:$H$33,"&gt;="&amp;$A2,Tasks!$D$2:$D$33,"&lt;&gt;parent")</f>
        <v/>
      </c>
      <c r="C2" s="28">
        <f>COUNTIFS(Tasks!$C$2:$C$33,"cycle_1",Tasks!$F$2:$F$33,"&lt;="&amp;EOMONTH($A2,0),Tasks!$H$2:$H$33,"&gt;="&amp;$A2,Tasks!$D$2:$D$33,"&lt;&gt;parent")</f>
        <v/>
      </c>
      <c r="D2" s="28">
        <f>COUNTIFS(Tasks!$C$2:$C$33,"cycle_2_trigger",Tasks!$F$2:$F$33,"&lt;="&amp;EOMONTH($A2,0),Tasks!$H$2:$H$33,"&gt;="&amp;$A2,Tasks!$D$2:$D$33,"&lt;&gt;parent")</f>
        <v/>
      </c>
      <c r="E2" s="28">
        <f>COUNTIFS(Tasks!$C$2:$C$33,"cycle_2",Tasks!$F$2:$F$33,"&lt;="&amp;EOMONTH($A2,0),Tasks!$H$2:$H$33,"&gt;="&amp;$A2,Tasks!$D$2:$D$33,"&lt;&gt;parent")</f>
        <v/>
      </c>
      <c r="F2" s="28">
        <f>COUNTIFS(Tasks!$C$2:$C$33,"submission",Tasks!$F$2:$F$33,"&lt;="&amp;EOMONTH($A2,0),Tasks!$H$2:$H$33,"&gt;="&amp;$A2,Tasks!$D$2:$D$33,"&lt;&gt;parent")</f>
        <v/>
      </c>
      <c r="G2" s="28">
        <f>SUM(B2:F2)</f>
        <v/>
      </c>
    </row>
    <row r="3">
      <c r="A3" s="27" t="n">
        <v>45505</v>
      </c>
      <c r="B3" s="28">
        <f>COUNTIFS(Tasks!$C$2:$C$33,"foundation",Tasks!$F$2:$F$33,"&lt;="&amp;EOMONTH($A3,0),Tasks!$H$2:$H$33,"&gt;="&amp;$A3,Tasks!$D$2:$D$33,"&lt;&gt;parent")</f>
        <v/>
      </c>
      <c r="C3" s="28">
        <f>COUNTIFS(Tasks!$C$2:$C$33,"cycle_1",Tasks!$F$2:$F$33,"&lt;="&amp;EOMONTH($A3,0),Tasks!$H$2:$H$33,"&gt;="&amp;$A3,Tasks!$D$2:$D$33,"&lt;&gt;parent")</f>
        <v/>
      </c>
      <c r="D3" s="28">
        <f>COUNTIFS(Tasks!$C$2:$C$33,"cycle_2_trigger",Tasks!$F$2:$F$33,"&lt;="&amp;EOMONTH($A3,0),Tasks!$H$2:$H$33,"&gt;="&amp;$A3,Tasks!$D$2:$D$33,"&lt;&gt;parent")</f>
        <v/>
      </c>
      <c r="E3" s="28">
        <f>COUNTIFS(Tasks!$C$2:$C$33,"cycle_2",Tasks!$F$2:$F$33,"&lt;="&amp;EOMONTH($A3,0),Tasks!$H$2:$H$33,"&gt;="&amp;$A3,Tasks!$D$2:$D$33,"&lt;&gt;parent")</f>
        <v/>
      </c>
      <c r="F3" s="28">
        <f>COUNTIFS(Tasks!$C$2:$C$33,"submission",Tasks!$F$2:$F$33,"&lt;="&amp;EOMONTH($A3,0),Tasks!$H$2:$H$33,"&gt;="&amp;$A3,Tasks!$D$2:$D$33,"&lt;&gt;parent")</f>
        <v/>
      </c>
      <c r="G3" s="28">
        <f>SUM(B3:F3)</f>
        <v/>
      </c>
    </row>
    <row r="4">
      <c r="A4" s="27" t="n">
        <v>45536</v>
      </c>
      <c r="B4" s="28">
        <f>COUNTIFS(Tasks!$C$2:$C$33,"foundation",Tasks!$F$2:$F$33,"&lt;="&amp;EOMONTH($A4,0),Tasks!$H$2:$H$33,"&gt;="&amp;$A4,Tasks!$D$2:$D$33,"&lt;&gt;parent")</f>
        <v/>
      </c>
      <c r="C4" s="28">
        <f>COUNTIFS(Tasks!$C$2:$C$33,"cycle_1",Tasks!$F$2:$F$33,"&lt;="&amp;EOMONTH($A4,0),Tasks!$H$2:$H$33,"&gt;="&amp;$A4,Tasks!$D$2:$D$33,"&lt;&gt;parent")</f>
        <v/>
      </c>
      <c r="D4" s="28">
        <f>COUNTIFS(Tasks!$C$2:$C$33,"cycle_2_trigger",Tasks!$F$2:$F$33,"&lt;="&amp;EOMONTH($A4,0),Tasks!$H$2:$H$33,"&gt;="&amp;$A4,Tasks!$D$2:$D$33,"&lt;&gt;parent")</f>
        <v/>
      </c>
      <c r="E4" s="28">
        <f>COUNTIFS(Tasks!$C$2:$C$33,"cycle_2",Tasks!$F$2:$F$33,"&lt;="&amp;EOMONTH($A4,0),Tasks!$H$2:$H$33,"&gt;="&amp;$A4,Tasks!$D$2:$D$33,"&lt;&gt;parent")</f>
        <v/>
      </c>
      <c r="F4" s="28">
        <f>COUNTIFS(Tasks!$C$2:$C$33,"submission",Tasks!$F$2:$F$33,"&lt;="&amp;EOMONTH($A4,0),Tasks!$H$2:$H$33,"&gt;="&amp;$A4,Tasks!$D$2:$D$33,"&lt;&gt;parent")</f>
        <v/>
      </c>
      <c r="G4" s="28">
        <f>SUM(B4:F4)</f>
        <v/>
      </c>
    </row>
    <row r="5">
      <c r="A5" s="27" t="n">
        <v>45566</v>
      </c>
      <c r="B5" s="28">
        <f>COUNTIFS(Tasks!$C$2:$C$33,"foundation",Tasks!$F$2:$F$33,"&lt;="&amp;EOMONTH($A5,0),Tasks!$H$2:$H$33,"&gt;="&amp;$A5,Tasks!$D$2:$D$33,"&lt;&gt;parent")</f>
        <v/>
      </c>
      <c r="C5" s="28">
        <f>COUNTIFS(Tasks!$C$2:$C$33,"cycle_1",Tasks!$F$2:$F$33,"&lt;="&amp;EOMONTH($A5,0),Tasks!$H$2:$H$33,"&gt;="&amp;$A5,Tasks!$D$2:$D$33,"&lt;&gt;parent")</f>
        <v/>
      </c>
      <c r="D5" s="28">
        <f>COUNTIFS(Tasks!$C$2:$C$33,"cycle_2_trigger",Tasks!$F$2:$F$33,"&lt;="&amp;EOMONTH($A5,0),Tasks!$H$2:$H$33,"&gt;="&amp;$A5,Tasks!$D$2:$D$33,"&lt;&gt;parent")</f>
        <v/>
      </c>
      <c r="E5" s="28">
        <f>COUNTIFS(Tasks!$C$2:$C$33,"cycle_2",Tasks!$F$2:$F$33,"&lt;="&amp;EOMONTH($A5,0),Tasks!$H$2:$H$33,"&gt;="&amp;$A5,Tasks!$D$2:$D$33,"&lt;&gt;parent")</f>
        <v/>
      </c>
      <c r="F5" s="28">
        <f>COUNTIFS(Tasks!$C$2:$C$33,"submission",Tasks!$F$2:$F$33,"&lt;="&amp;EOMONTH($A5,0),Tasks!$H$2:$H$33,"&gt;="&amp;$A5,Tasks!$D$2:$D$33,"&lt;&gt;parent")</f>
        <v/>
      </c>
      <c r="G5" s="28">
        <f>SUM(B5:F5)</f>
        <v/>
      </c>
    </row>
    <row r="6">
      <c r="A6" s="27" t="n">
        <v>45597</v>
      </c>
      <c r="B6" s="28">
        <f>COUNTIFS(Tasks!$C$2:$C$33,"foundation",Tasks!$F$2:$F$33,"&lt;="&amp;EOMONTH($A6,0),Tasks!$H$2:$H$33,"&gt;="&amp;$A6,Tasks!$D$2:$D$33,"&lt;&gt;parent")</f>
        <v/>
      </c>
      <c r="C6" s="28">
        <f>COUNTIFS(Tasks!$C$2:$C$33,"cycle_1",Tasks!$F$2:$F$33,"&lt;="&amp;EOMONTH($A6,0),Tasks!$H$2:$H$33,"&gt;="&amp;$A6,Tasks!$D$2:$D$33,"&lt;&gt;parent")</f>
        <v/>
      </c>
      <c r="D6" s="28">
        <f>COUNTIFS(Tasks!$C$2:$C$33,"cycle_2_trigger",Tasks!$F$2:$F$33,"&lt;="&amp;EOMONTH($A6,0),Tasks!$H$2:$H$33,"&gt;="&amp;$A6,Tasks!$D$2:$D$33,"&lt;&gt;parent")</f>
        <v/>
      </c>
      <c r="E6" s="28">
        <f>COUNTIFS(Tasks!$C$2:$C$33,"cycle_2",Tasks!$F$2:$F$33,"&lt;="&amp;EOMONTH($A6,0),Tasks!$H$2:$H$33,"&gt;="&amp;$A6,Tasks!$D$2:$D$33,"&lt;&gt;parent")</f>
        <v/>
      </c>
      <c r="F6" s="28">
        <f>COUNTIFS(Tasks!$C$2:$C$33,"submission",Tasks!$F$2:$F$33,"&lt;="&amp;EOMONTH($A6,0),Tasks!$H$2:$H$33,"&gt;="&amp;$A6,Tasks!$D$2:$D$33,"&lt;&gt;parent")</f>
        <v/>
      </c>
      <c r="G6" s="28">
        <f>SUM(B6:F6)</f>
        <v/>
      </c>
    </row>
    <row r="7">
      <c r="A7" s="27" t="n">
        <v>45627</v>
      </c>
      <c r="B7" s="28">
        <f>COUNTIFS(Tasks!$C$2:$C$33,"foundation",Tasks!$F$2:$F$33,"&lt;="&amp;EOMONTH($A7,0),Tasks!$H$2:$H$33,"&gt;="&amp;$A7,Tasks!$D$2:$D$33,"&lt;&gt;parent")</f>
        <v/>
      </c>
      <c r="C7" s="28">
        <f>COUNTIFS(Tasks!$C$2:$C$33,"cycle_1",Tasks!$F$2:$F$33,"&lt;="&amp;EOMONTH($A7,0),Tasks!$H$2:$H$33,"&gt;="&amp;$A7,Tasks!$D$2:$D$33,"&lt;&gt;parent")</f>
        <v/>
      </c>
      <c r="D7" s="28">
        <f>COUNTIFS(Tasks!$C$2:$C$33,"cycle_2_trigger",Tasks!$F$2:$F$33,"&lt;="&amp;EOMONTH($A7,0),Tasks!$H$2:$H$33,"&gt;="&amp;$A7,Tasks!$D$2:$D$33,"&lt;&gt;parent")</f>
        <v/>
      </c>
      <c r="E7" s="28">
        <f>COUNTIFS(Tasks!$C$2:$C$33,"cycle_2",Tasks!$F$2:$F$33,"&lt;="&amp;EOMONTH($A7,0),Tasks!$H$2:$H$33,"&gt;="&amp;$A7,Tasks!$D$2:$D$33,"&lt;&gt;parent")</f>
        <v/>
      </c>
      <c r="F7" s="28">
        <f>COUNTIFS(Tasks!$C$2:$C$33,"submission",Tasks!$F$2:$F$33,"&lt;="&amp;EOMONTH($A7,0),Tasks!$H$2:$H$33,"&gt;="&amp;$A7,Tasks!$D$2:$D$33,"&lt;&gt;parent")</f>
        <v/>
      </c>
      <c r="G7" s="28">
        <f>SUM(B7:F7)</f>
        <v/>
      </c>
    </row>
    <row r="8">
      <c r="A8" s="27" t="n">
        <v>45658</v>
      </c>
      <c r="B8" s="28">
        <f>COUNTIFS(Tasks!$C$2:$C$33,"foundation",Tasks!$F$2:$F$33,"&lt;="&amp;EOMONTH($A8,0),Tasks!$H$2:$H$33,"&gt;="&amp;$A8,Tasks!$D$2:$D$33,"&lt;&gt;parent")</f>
        <v/>
      </c>
      <c r="C8" s="28">
        <f>COUNTIFS(Tasks!$C$2:$C$33,"cycle_1",Tasks!$F$2:$F$33,"&lt;="&amp;EOMONTH($A8,0),Tasks!$H$2:$H$33,"&gt;="&amp;$A8,Tasks!$D$2:$D$33,"&lt;&gt;parent")</f>
        <v/>
      </c>
      <c r="D8" s="28">
        <f>COUNTIFS(Tasks!$C$2:$C$33,"cycle_2_trigger",Tasks!$F$2:$F$33,"&lt;="&amp;EOMONTH($A8,0),Tasks!$H$2:$H$33,"&gt;="&amp;$A8,Tasks!$D$2:$D$33,"&lt;&gt;parent")</f>
        <v/>
      </c>
      <c r="E8" s="28">
        <f>COUNTIFS(Tasks!$C$2:$C$33,"cycle_2",Tasks!$F$2:$F$33,"&lt;="&amp;EOMONTH($A8,0),Tasks!$H$2:$H$33,"&gt;="&amp;$A8,Tasks!$D$2:$D$33,"&lt;&gt;parent")</f>
        <v/>
      </c>
      <c r="F8" s="28">
        <f>COUNTIFS(Tasks!$C$2:$C$33,"submission",Tasks!$F$2:$F$33,"&lt;="&amp;EOMONTH($A8,0),Tasks!$H$2:$H$33,"&gt;="&amp;$A8,Tasks!$D$2:$D$33,"&lt;&gt;parent")</f>
        <v/>
      </c>
      <c r="G8" s="28">
        <f>SUM(B8:F8)</f>
        <v/>
      </c>
    </row>
    <row r="9">
      <c r="A9" s="27" t="n">
        <v>45689</v>
      </c>
      <c r="B9" s="28">
        <f>COUNTIFS(Tasks!$C$2:$C$33,"foundation",Tasks!$F$2:$F$33,"&lt;="&amp;EOMONTH($A9,0),Tasks!$H$2:$H$33,"&gt;="&amp;$A9,Tasks!$D$2:$D$33,"&lt;&gt;parent")</f>
        <v/>
      </c>
      <c r="C9" s="28">
        <f>COUNTIFS(Tasks!$C$2:$C$33,"cycle_1",Tasks!$F$2:$F$33,"&lt;="&amp;EOMONTH($A9,0),Tasks!$H$2:$H$33,"&gt;="&amp;$A9,Tasks!$D$2:$D$33,"&lt;&gt;parent")</f>
        <v/>
      </c>
      <c r="D9" s="28">
        <f>COUNTIFS(Tasks!$C$2:$C$33,"cycle_2_trigger",Tasks!$F$2:$F$33,"&lt;="&amp;EOMONTH($A9,0),Tasks!$H$2:$H$33,"&gt;="&amp;$A9,Tasks!$D$2:$D$33,"&lt;&gt;parent")</f>
        <v/>
      </c>
      <c r="E9" s="28">
        <f>COUNTIFS(Tasks!$C$2:$C$33,"cycle_2",Tasks!$F$2:$F$33,"&lt;="&amp;EOMONTH($A9,0),Tasks!$H$2:$H$33,"&gt;="&amp;$A9,Tasks!$D$2:$D$33,"&lt;&gt;parent")</f>
        <v/>
      </c>
      <c r="F9" s="28">
        <f>COUNTIFS(Tasks!$C$2:$C$33,"submission",Tasks!$F$2:$F$33,"&lt;="&amp;EOMONTH($A9,0),Tasks!$H$2:$H$33,"&gt;="&amp;$A9,Tasks!$D$2:$D$33,"&lt;&gt;parent")</f>
        <v/>
      </c>
      <c r="G9" s="28">
        <f>SUM(B9:F9)</f>
        <v/>
      </c>
    </row>
    <row r="10">
      <c r="A10" s="27" t="n">
        <v>45717</v>
      </c>
      <c r="B10" s="28">
        <f>COUNTIFS(Tasks!$C$2:$C$33,"foundation",Tasks!$F$2:$F$33,"&lt;="&amp;EOMONTH($A10,0),Tasks!$H$2:$H$33,"&gt;="&amp;$A10,Tasks!$D$2:$D$33,"&lt;&gt;parent")</f>
        <v/>
      </c>
      <c r="C10" s="28">
        <f>COUNTIFS(Tasks!$C$2:$C$33,"cycle_1",Tasks!$F$2:$F$33,"&lt;="&amp;EOMONTH($A10,0),Tasks!$H$2:$H$33,"&gt;="&amp;$A10,Tasks!$D$2:$D$33,"&lt;&gt;parent")</f>
        <v/>
      </c>
      <c r="D10" s="28">
        <f>COUNTIFS(Tasks!$C$2:$C$33,"cycle_2_trigger",Tasks!$F$2:$F$33,"&lt;="&amp;EOMONTH($A10,0),Tasks!$H$2:$H$33,"&gt;="&amp;$A10,Tasks!$D$2:$D$33,"&lt;&gt;parent")</f>
        <v/>
      </c>
      <c r="E10" s="28">
        <f>COUNTIFS(Tasks!$C$2:$C$33,"cycle_2",Tasks!$F$2:$F$33,"&lt;="&amp;EOMONTH($A10,0),Tasks!$H$2:$H$33,"&gt;="&amp;$A10,Tasks!$D$2:$D$33,"&lt;&gt;parent")</f>
        <v/>
      </c>
      <c r="F10" s="28">
        <f>COUNTIFS(Tasks!$C$2:$C$33,"submission",Tasks!$F$2:$F$33,"&lt;="&amp;EOMONTH($A10,0),Tasks!$H$2:$H$33,"&gt;="&amp;$A10,Tasks!$D$2:$D$33,"&lt;&gt;parent")</f>
        <v/>
      </c>
      <c r="G10" s="28">
        <f>SUM(B10:F10)</f>
        <v/>
      </c>
    </row>
    <row r="11">
      <c r="A11" s="27" t="n">
        <v>45748</v>
      </c>
      <c r="B11" s="28">
        <f>COUNTIFS(Tasks!$C$2:$C$33,"foundation",Tasks!$F$2:$F$33,"&lt;="&amp;EOMONTH($A11,0),Tasks!$H$2:$H$33,"&gt;="&amp;$A11,Tasks!$D$2:$D$33,"&lt;&gt;parent")</f>
        <v/>
      </c>
      <c r="C11" s="28">
        <f>COUNTIFS(Tasks!$C$2:$C$33,"cycle_1",Tasks!$F$2:$F$33,"&lt;="&amp;EOMONTH($A11,0),Tasks!$H$2:$H$33,"&gt;="&amp;$A11,Tasks!$D$2:$D$33,"&lt;&gt;parent")</f>
        <v/>
      </c>
      <c r="D11" s="28">
        <f>COUNTIFS(Tasks!$C$2:$C$33,"cycle_2_trigger",Tasks!$F$2:$F$33,"&lt;="&amp;EOMONTH($A11,0),Tasks!$H$2:$H$33,"&gt;="&amp;$A11,Tasks!$D$2:$D$33,"&lt;&gt;parent")</f>
        <v/>
      </c>
      <c r="E11" s="28">
        <f>COUNTIFS(Tasks!$C$2:$C$33,"cycle_2",Tasks!$F$2:$F$33,"&lt;="&amp;EOMONTH($A11,0),Tasks!$H$2:$H$33,"&gt;="&amp;$A11,Tasks!$D$2:$D$33,"&lt;&gt;parent")</f>
        <v/>
      </c>
      <c r="F11" s="28">
        <f>COUNTIFS(Tasks!$C$2:$C$33,"submission",Tasks!$F$2:$F$33,"&lt;="&amp;EOMONTH($A11,0),Tasks!$H$2:$H$33,"&gt;="&amp;$A11,Tasks!$D$2:$D$33,"&lt;&gt;parent")</f>
        <v/>
      </c>
      <c r="G11" s="28">
        <f>SUM(B11:F11)</f>
        <v/>
      </c>
    </row>
    <row r="12">
      <c r="A12" s="27" t="n">
        <v>45778</v>
      </c>
      <c r="B12" s="28">
        <f>COUNTIFS(Tasks!$C$2:$C$33,"foundation",Tasks!$F$2:$F$33,"&lt;="&amp;EOMONTH($A12,0),Tasks!$H$2:$H$33,"&gt;="&amp;$A12,Tasks!$D$2:$D$33,"&lt;&gt;parent")</f>
        <v/>
      </c>
      <c r="C12" s="28">
        <f>COUNTIFS(Tasks!$C$2:$C$33,"cycle_1",Tasks!$F$2:$F$33,"&lt;="&amp;EOMONTH($A12,0),Tasks!$H$2:$H$33,"&gt;="&amp;$A12,Tasks!$D$2:$D$33,"&lt;&gt;parent")</f>
        <v/>
      </c>
      <c r="D12" s="28">
        <f>COUNTIFS(Tasks!$C$2:$C$33,"cycle_2_trigger",Tasks!$F$2:$F$33,"&lt;="&amp;EOMONTH($A12,0),Tasks!$H$2:$H$33,"&gt;="&amp;$A12,Tasks!$D$2:$D$33,"&lt;&gt;parent")</f>
        <v/>
      </c>
      <c r="E12" s="28">
        <f>COUNTIFS(Tasks!$C$2:$C$33,"cycle_2",Tasks!$F$2:$F$33,"&lt;="&amp;EOMONTH($A12,0),Tasks!$H$2:$H$33,"&gt;="&amp;$A12,Tasks!$D$2:$D$33,"&lt;&gt;parent")</f>
        <v/>
      </c>
      <c r="F12" s="28">
        <f>COUNTIFS(Tasks!$C$2:$C$33,"submission",Tasks!$F$2:$F$33,"&lt;="&amp;EOMONTH($A12,0),Tasks!$H$2:$H$33,"&gt;="&amp;$A12,Tasks!$D$2:$D$33,"&lt;&gt;parent")</f>
        <v/>
      </c>
      <c r="G12" s="28">
        <f>SUM(B12:F12)</f>
        <v/>
      </c>
    </row>
    <row r="13">
      <c r="A13" s="27" t="n">
        <v>45809</v>
      </c>
      <c r="B13" s="28">
        <f>COUNTIFS(Tasks!$C$2:$C$33,"foundation",Tasks!$F$2:$F$33,"&lt;="&amp;EOMONTH($A13,0),Tasks!$H$2:$H$33,"&gt;="&amp;$A13,Tasks!$D$2:$D$33,"&lt;&gt;parent")</f>
        <v/>
      </c>
      <c r="C13" s="28">
        <f>COUNTIFS(Tasks!$C$2:$C$33,"cycle_1",Tasks!$F$2:$F$33,"&lt;="&amp;EOMONTH($A13,0),Tasks!$H$2:$H$33,"&gt;="&amp;$A13,Tasks!$D$2:$D$33,"&lt;&gt;parent")</f>
        <v/>
      </c>
      <c r="D13" s="28">
        <f>COUNTIFS(Tasks!$C$2:$C$33,"cycle_2_trigger",Tasks!$F$2:$F$33,"&lt;="&amp;EOMONTH($A13,0),Tasks!$H$2:$H$33,"&gt;="&amp;$A13,Tasks!$D$2:$D$33,"&lt;&gt;parent")</f>
        <v/>
      </c>
      <c r="E13" s="28">
        <f>COUNTIFS(Tasks!$C$2:$C$33,"cycle_2",Tasks!$F$2:$F$33,"&lt;="&amp;EOMONTH($A13,0),Tasks!$H$2:$H$33,"&gt;="&amp;$A13,Tasks!$D$2:$D$33,"&lt;&gt;parent")</f>
        <v/>
      </c>
      <c r="F13" s="28">
        <f>COUNTIFS(Tasks!$C$2:$C$33,"submission",Tasks!$F$2:$F$33,"&lt;="&amp;EOMONTH($A13,0),Tasks!$H$2:$H$33,"&gt;="&amp;$A13,Tasks!$D$2:$D$33,"&lt;&gt;parent")</f>
        <v/>
      </c>
      <c r="G13" s="28">
        <f>SUM(B13:F13)</f>
        <v/>
      </c>
    </row>
    <row r="14">
      <c r="A14" s="27" t="n">
        <v>45839</v>
      </c>
      <c r="B14" s="28">
        <f>COUNTIFS(Tasks!$C$2:$C$33,"foundation",Tasks!$F$2:$F$33,"&lt;="&amp;EOMONTH($A14,0),Tasks!$H$2:$H$33,"&gt;="&amp;$A14,Tasks!$D$2:$D$33,"&lt;&gt;parent")</f>
        <v/>
      </c>
      <c r="C14" s="28">
        <f>COUNTIFS(Tasks!$C$2:$C$33,"cycle_1",Tasks!$F$2:$F$33,"&lt;="&amp;EOMONTH($A14,0),Tasks!$H$2:$H$33,"&gt;="&amp;$A14,Tasks!$D$2:$D$33,"&lt;&gt;parent")</f>
        <v/>
      </c>
      <c r="D14" s="28">
        <f>COUNTIFS(Tasks!$C$2:$C$33,"cycle_2_trigger",Tasks!$F$2:$F$33,"&lt;="&amp;EOMONTH($A14,0),Tasks!$H$2:$H$33,"&gt;="&amp;$A14,Tasks!$D$2:$D$33,"&lt;&gt;parent")</f>
        <v/>
      </c>
      <c r="E14" s="28">
        <f>COUNTIFS(Tasks!$C$2:$C$33,"cycle_2",Tasks!$F$2:$F$33,"&lt;="&amp;EOMONTH($A14,0),Tasks!$H$2:$H$33,"&gt;="&amp;$A14,Tasks!$D$2:$D$33,"&lt;&gt;parent")</f>
        <v/>
      </c>
      <c r="F14" s="28">
        <f>COUNTIFS(Tasks!$C$2:$C$33,"submission",Tasks!$F$2:$F$33,"&lt;="&amp;EOMONTH($A14,0),Tasks!$H$2:$H$33,"&gt;="&amp;$A14,Tasks!$D$2:$D$33,"&lt;&gt;parent")</f>
        <v/>
      </c>
      <c r="G14" s="28">
        <f>SUM(B14:F14)</f>
        <v/>
      </c>
    </row>
    <row r="15">
      <c r="A15" s="27" t="n">
        <v>45870</v>
      </c>
      <c r="B15" s="28">
        <f>COUNTIFS(Tasks!$C$2:$C$33,"foundation",Tasks!$F$2:$F$33,"&lt;="&amp;EOMONTH($A15,0),Tasks!$H$2:$H$33,"&gt;="&amp;$A15,Tasks!$D$2:$D$33,"&lt;&gt;parent")</f>
        <v/>
      </c>
      <c r="C15" s="28">
        <f>COUNTIFS(Tasks!$C$2:$C$33,"cycle_1",Tasks!$F$2:$F$33,"&lt;="&amp;EOMONTH($A15,0),Tasks!$H$2:$H$33,"&gt;="&amp;$A15,Tasks!$D$2:$D$33,"&lt;&gt;parent")</f>
        <v/>
      </c>
      <c r="D15" s="28">
        <f>COUNTIFS(Tasks!$C$2:$C$33,"cycle_2_trigger",Tasks!$F$2:$F$33,"&lt;="&amp;EOMONTH($A15,0),Tasks!$H$2:$H$33,"&gt;="&amp;$A15,Tasks!$D$2:$D$33,"&lt;&gt;parent")</f>
        <v/>
      </c>
      <c r="E15" s="28">
        <f>COUNTIFS(Tasks!$C$2:$C$33,"cycle_2",Tasks!$F$2:$F$33,"&lt;="&amp;EOMONTH($A15,0),Tasks!$H$2:$H$33,"&gt;="&amp;$A15,Tasks!$D$2:$D$33,"&lt;&gt;parent")</f>
        <v/>
      </c>
      <c r="F15" s="28">
        <f>COUNTIFS(Tasks!$C$2:$C$33,"submission",Tasks!$F$2:$F$33,"&lt;="&amp;EOMONTH($A15,0),Tasks!$H$2:$H$33,"&gt;="&amp;$A15,Tasks!$D$2:$D$33,"&lt;&gt;parent")</f>
        <v/>
      </c>
      <c r="G15" s="28">
        <f>SUM(B15:F15)</f>
        <v/>
      </c>
    </row>
    <row r="16">
      <c r="A16" s="27" t="n">
        <v>45901</v>
      </c>
      <c r="B16" s="28">
        <f>COUNTIFS(Tasks!$C$2:$C$33,"foundation",Tasks!$F$2:$F$33,"&lt;="&amp;EOMONTH($A16,0),Tasks!$H$2:$H$33,"&gt;="&amp;$A16,Tasks!$D$2:$D$33,"&lt;&gt;parent")</f>
        <v/>
      </c>
      <c r="C16" s="28">
        <f>COUNTIFS(Tasks!$C$2:$C$33,"cycle_1",Tasks!$F$2:$F$33,"&lt;="&amp;EOMONTH($A16,0),Tasks!$H$2:$H$33,"&gt;="&amp;$A16,Tasks!$D$2:$D$33,"&lt;&gt;parent")</f>
        <v/>
      </c>
      <c r="D16" s="28">
        <f>COUNTIFS(Tasks!$C$2:$C$33,"cycle_2_trigger",Tasks!$F$2:$F$33,"&lt;="&amp;EOMONTH($A16,0),Tasks!$H$2:$H$33,"&gt;="&amp;$A16,Tasks!$D$2:$D$33,"&lt;&gt;parent")</f>
        <v/>
      </c>
      <c r="E16" s="28">
        <f>COUNTIFS(Tasks!$C$2:$C$33,"cycle_2",Tasks!$F$2:$F$33,"&lt;="&amp;EOMONTH($A16,0),Tasks!$H$2:$H$33,"&gt;="&amp;$A16,Tasks!$D$2:$D$33,"&lt;&gt;parent")</f>
        <v/>
      </c>
      <c r="F16" s="28">
        <f>COUNTIFS(Tasks!$C$2:$C$33,"submission",Tasks!$F$2:$F$33,"&lt;="&amp;EOMONTH($A16,0),Tasks!$H$2:$H$33,"&gt;="&amp;$A16,Tasks!$D$2:$D$33,"&lt;&gt;parent")</f>
        <v/>
      </c>
      <c r="G16" s="28">
        <f>SUM(B16:F16)</f>
        <v/>
      </c>
    </row>
    <row r="17">
      <c r="A17" s="27" t="n">
        <v>45931</v>
      </c>
      <c r="B17" s="28">
        <f>COUNTIFS(Tasks!$C$2:$C$33,"foundation",Tasks!$F$2:$F$33,"&lt;="&amp;EOMONTH($A17,0),Tasks!$H$2:$H$33,"&gt;="&amp;$A17,Tasks!$D$2:$D$33,"&lt;&gt;parent")</f>
        <v/>
      </c>
      <c r="C17" s="28">
        <f>COUNTIFS(Tasks!$C$2:$C$33,"cycle_1",Tasks!$F$2:$F$33,"&lt;="&amp;EOMONTH($A17,0),Tasks!$H$2:$H$33,"&gt;="&amp;$A17,Tasks!$D$2:$D$33,"&lt;&gt;parent")</f>
        <v/>
      </c>
      <c r="D17" s="28">
        <f>COUNTIFS(Tasks!$C$2:$C$33,"cycle_2_trigger",Tasks!$F$2:$F$33,"&lt;="&amp;EOMONTH($A17,0),Tasks!$H$2:$H$33,"&gt;="&amp;$A17,Tasks!$D$2:$D$33,"&lt;&gt;parent")</f>
        <v/>
      </c>
      <c r="E17" s="28">
        <f>COUNTIFS(Tasks!$C$2:$C$33,"cycle_2",Tasks!$F$2:$F$33,"&lt;="&amp;EOMONTH($A17,0),Tasks!$H$2:$H$33,"&gt;="&amp;$A17,Tasks!$D$2:$D$33,"&lt;&gt;parent")</f>
        <v/>
      </c>
      <c r="F17" s="28">
        <f>COUNTIFS(Tasks!$C$2:$C$33,"submission",Tasks!$F$2:$F$33,"&lt;="&amp;EOMONTH($A17,0),Tasks!$H$2:$H$33,"&gt;="&amp;$A17,Tasks!$D$2:$D$33,"&lt;&gt;parent")</f>
        <v/>
      </c>
      <c r="G17" s="28">
        <f>SUM(B17:F17)</f>
        <v/>
      </c>
    </row>
    <row r="18">
      <c r="A18" s="27" t="n">
        <v>45962</v>
      </c>
      <c r="B18" s="28">
        <f>COUNTIFS(Tasks!$C$2:$C$33,"foundation",Tasks!$F$2:$F$33,"&lt;="&amp;EOMONTH($A18,0),Tasks!$H$2:$H$33,"&gt;="&amp;$A18,Tasks!$D$2:$D$33,"&lt;&gt;parent")</f>
        <v/>
      </c>
      <c r="C18" s="28">
        <f>COUNTIFS(Tasks!$C$2:$C$33,"cycle_1",Tasks!$F$2:$F$33,"&lt;="&amp;EOMONTH($A18,0),Tasks!$H$2:$H$33,"&gt;="&amp;$A18,Tasks!$D$2:$D$33,"&lt;&gt;parent")</f>
        <v/>
      </c>
      <c r="D18" s="28">
        <f>COUNTIFS(Tasks!$C$2:$C$33,"cycle_2_trigger",Tasks!$F$2:$F$33,"&lt;="&amp;EOMONTH($A18,0),Tasks!$H$2:$H$33,"&gt;="&amp;$A18,Tasks!$D$2:$D$33,"&lt;&gt;parent")</f>
        <v/>
      </c>
      <c r="E18" s="28">
        <f>COUNTIFS(Tasks!$C$2:$C$33,"cycle_2",Tasks!$F$2:$F$33,"&lt;="&amp;EOMONTH($A18,0),Tasks!$H$2:$H$33,"&gt;="&amp;$A18,Tasks!$D$2:$D$33,"&lt;&gt;parent")</f>
        <v/>
      </c>
      <c r="F18" s="28">
        <f>COUNTIFS(Tasks!$C$2:$C$33,"submission",Tasks!$F$2:$F$33,"&lt;="&amp;EOMONTH($A18,0),Tasks!$H$2:$H$33,"&gt;="&amp;$A18,Tasks!$D$2:$D$33,"&lt;&gt;parent")</f>
        <v/>
      </c>
      <c r="G18" s="28">
        <f>SUM(B18:F18)</f>
        <v/>
      </c>
    </row>
    <row r="19">
      <c r="A19" s="27" t="n">
        <v>45992</v>
      </c>
      <c r="B19" s="28">
        <f>COUNTIFS(Tasks!$C$2:$C$33,"foundation",Tasks!$F$2:$F$33,"&lt;="&amp;EOMONTH($A19,0),Tasks!$H$2:$H$33,"&gt;="&amp;$A19,Tasks!$D$2:$D$33,"&lt;&gt;parent")</f>
        <v/>
      </c>
      <c r="C19" s="28">
        <f>COUNTIFS(Tasks!$C$2:$C$33,"cycle_1",Tasks!$F$2:$F$33,"&lt;="&amp;EOMONTH($A19,0),Tasks!$H$2:$H$33,"&gt;="&amp;$A19,Tasks!$D$2:$D$33,"&lt;&gt;parent")</f>
        <v/>
      </c>
      <c r="D19" s="28">
        <f>COUNTIFS(Tasks!$C$2:$C$33,"cycle_2_trigger",Tasks!$F$2:$F$33,"&lt;="&amp;EOMONTH($A19,0),Tasks!$H$2:$H$33,"&gt;="&amp;$A19,Tasks!$D$2:$D$33,"&lt;&gt;parent")</f>
        <v/>
      </c>
      <c r="E19" s="28">
        <f>COUNTIFS(Tasks!$C$2:$C$33,"cycle_2",Tasks!$F$2:$F$33,"&lt;="&amp;EOMONTH($A19,0),Tasks!$H$2:$H$33,"&gt;="&amp;$A19,Tasks!$D$2:$D$33,"&lt;&gt;parent")</f>
        <v/>
      </c>
      <c r="F19" s="28">
        <f>COUNTIFS(Tasks!$C$2:$C$33,"submission",Tasks!$F$2:$F$33,"&lt;="&amp;EOMONTH($A19,0),Tasks!$H$2:$H$33,"&gt;="&amp;$A19,Tasks!$D$2:$D$33,"&lt;&gt;parent")</f>
        <v/>
      </c>
      <c r="G19" s="28">
        <f>SUM(B19:F19)</f>
        <v/>
      </c>
    </row>
    <row r="20">
      <c r="A20" s="27" t="n">
        <v>46023</v>
      </c>
      <c r="B20" s="28">
        <f>COUNTIFS(Tasks!$C$2:$C$33,"foundation",Tasks!$F$2:$F$33,"&lt;="&amp;EOMONTH($A20,0),Tasks!$H$2:$H$33,"&gt;="&amp;$A20,Tasks!$D$2:$D$33,"&lt;&gt;parent")</f>
        <v/>
      </c>
      <c r="C20" s="28">
        <f>COUNTIFS(Tasks!$C$2:$C$33,"cycle_1",Tasks!$F$2:$F$33,"&lt;="&amp;EOMONTH($A20,0),Tasks!$H$2:$H$33,"&gt;="&amp;$A20,Tasks!$D$2:$D$33,"&lt;&gt;parent")</f>
        <v/>
      </c>
      <c r="D20" s="28">
        <f>COUNTIFS(Tasks!$C$2:$C$33,"cycle_2_trigger",Tasks!$F$2:$F$33,"&lt;="&amp;EOMONTH($A20,0),Tasks!$H$2:$H$33,"&gt;="&amp;$A20,Tasks!$D$2:$D$33,"&lt;&gt;parent")</f>
        <v/>
      </c>
      <c r="E20" s="28">
        <f>COUNTIFS(Tasks!$C$2:$C$33,"cycle_2",Tasks!$F$2:$F$33,"&lt;="&amp;EOMONTH($A20,0),Tasks!$H$2:$H$33,"&gt;="&amp;$A20,Tasks!$D$2:$D$33,"&lt;&gt;parent")</f>
        <v/>
      </c>
      <c r="F20" s="28">
        <f>COUNTIFS(Tasks!$C$2:$C$33,"submission",Tasks!$F$2:$F$33,"&lt;="&amp;EOMONTH($A20,0),Tasks!$H$2:$H$33,"&gt;="&amp;$A20,Tasks!$D$2:$D$33,"&lt;&gt;parent")</f>
        <v/>
      </c>
      <c r="G20" s="28">
        <f>SUM(B20:F20)</f>
        <v/>
      </c>
    </row>
    <row r="21">
      <c r="A21" s="27" t="n">
        <v>46054</v>
      </c>
      <c r="B21" s="28">
        <f>COUNTIFS(Tasks!$C$2:$C$33,"foundation",Tasks!$F$2:$F$33,"&lt;="&amp;EOMONTH($A21,0),Tasks!$H$2:$H$33,"&gt;="&amp;$A21,Tasks!$D$2:$D$33,"&lt;&gt;parent")</f>
        <v/>
      </c>
      <c r="C21" s="28">
        <f>COUNTIFS(Tasks!$C$2:$C$33,"cycle_1",Tasks!$F$2:$F$33,"&lt;="&amp;EOMONTH($A21,0),Tasks!$H$2:$H$33,"&gt;="&amp;$A21,Tasks!$D$2:$D$33,"&lt;&gt;parent")</f>
        <v/>
      </c>
      <c r="D21" s="28">
        <f>COUNTIFS(Tasks!$C$2:$C$33,"cycle_2_trigger",Tasks!$F$2:$F$33,"&lt;="&amp;EOMONTH($A21,0),Tasks!$H$2:$H$33,"&gt;="&amp;$A21,Tasks!$D$2:$D$33,"&lt;&gt;parent")</f>
        <v/>
      </c>
      <c r="E21" s="28">
        <f>COUNTIFS(Tasks!$C$2:$C$33,"cycle_2",Tasks!$F$2:$F$33,"&lt;="&amp;EOMONTH($A21,0),Tasks!$H$2:$H$33,"&gt;="&amp;$A21,Tasks!$D$2:$D$33,"&lt;&gt;parent")</f>
        <v/>
      </c>
      <c r="F21" s="28">
        <f>COUNTIFS(Tasks!$C$2:$C$33,"submission",Tasks!$F$2:$F$33,"&lt;="&amp;EOMONTH($A21,0),Tasks!$H$2:$H$33,"&gt;="&amp;$A21,Tasks!$D$2:$D$33,"&lt;&gt;parent")</f>
        <v/>
      </c>
      <c r="G21" s="28">
        <f>SUM(B21:F21)</f>
        <v/>
      </c>
    </row>
    <row r="22">
      <c r="A22" s="27" t="n">
        <v>46082</v>
      </c>
      <c r="B22" s="28">
        <f>COUNTIFS(Tasks!$C$2:$C$33,"foundation",Tasks!$F$2:$F$33,"&lt;="&amp;EOMONTH($A22,0),Tasks!$H$2:$H$33,"&gt;="&amp;$A22,Tasks!$D$2:$D$33,"&lt;&gt;parent")</f>
        <v/>
      </c>
      <c r="C22" s="28">
        <f>COUNTIFS(Tasks!$C$2:$C$33,"cycle_1",Tasks!$F$2:$F$33,"&lt;="&amp;EOMONTH($A22,0),Tasks!$H$2:$H$33,"&gt;="&amp;$A22,Tasks!$D$2:$D$33,"&lt;&gt;parent")</f>
        <v/>
      </c>
      <c r="D22" s="28">
        <f>COUNTIFS(Tasks!$C$2:$C$33,"cycle_2_trigger",Tasks!$F$2:$F$33,"&lt;="&amp;EOMONTH($A22,0),Tasks!$H$2:$H$33,"&gt;="&amp;$A22,Tasks!$D$2:$D$33,"&lt;&gt;parent")</f>
        <v/>
      </c>
      <c r="E22" s="28">
        <f>COUNTIFS(Tasks!$C$2:$C$33,"cycle_2",Tasks!$F$2:$F$33,"&lt;="&amp;EOMONTH($A22,0),Tasks!$H$2:$H$33,"&gt;="&amp;$A22,Tasks!$D$2:$D$33,"&lt;&gt;parent")</f>
        <v/>
      </c>
      <c r="F22" s="28">
        <f>COUNTIFS(Tasks!$C$2:$C$33,"submission",Tasks!$F$2:$F$33,"&lt;="&amp;EOMONTH($A22,0),Tasks!$H$2:$H$33,"&gt;="&amp;$A22,Tasks!$D$2:$D$33,"&lt;&gt;parent")</f>
        <v/>
      </c>
      <c r="G22" s="28">
        <f>SUM(B22:F22)</f>
        <v/>
      </c>
    </row>
    <row r="23">
      <c r="A23" s="27" t="n">
        <v>46113</v>
      </c>
      <c r="B23" s="28">
        <f>COUNTIFS(Tasks!$C$2:$C$33,"foundation",Tasks!$F$2:$F$33,"&lt;="&amp;EOMONTH($A23,0),Tasks!$H$2:$H$33,"&gt;="&amp;$A23,Tasks!$D$2:$D$33,"&lt;&gt;parent")</f>
        <v/>
      </c>
      <c r="C23" s="28">
        <f>COUNTIFS(Tasks!$C$2:$C$33,"cycle_1",Tasks!$F$2:$F$33,"&lt;="&amp;EOMONTH($A23,0),Tasks!$H$2:$H$33,"&gt;="&amp;$A23,Tasks!$D$2:$D$33,"&lt;&gt;parent")</f>
        <v/>
      </c>
      <c r="D23" s="28">
        <f>COUNTIFS(Tasks!$C$2:$C$33,"cycle_2_trigger",Tasks!$F$2:$F$33,"&lt;="&amp;EOMONTH($A23,0),Tasks!$H$2:$H$33,"&gt;="&amp;$A23,Tasks!$D$2:$D$33,"&lt;&gt;parent")</f>
        <v/>
      </c>
      <c r="E23" s="28">
        <f>COUNTIFS(Tasks!$C$2:$C$33,"cycle_2",Tasks!$F$2:$F$33,"&lt;="&amp;EOMONTH($A23,0),Tasks!$H$2:$H$33,"&gt;="&amp;$A23,Tasks!$D$2:$D$33,"&lt;&gt;parent")</f>
        <v/>
      </c>
      <c r="F23" s="28">
        <f>COUNTIFS(Tasks!$C$2:$C$33,"submission",Tasks!$F$2:$F$33,"&lt;="&amp;EOMONTH($A23,0),Tasks!$H$2:$H$33,"&gt;="&amp;$A23,Tasks!$D$2:$D$33,"&lt;&gt;parent")</f>
        <v/>
      </c>
      <c r="G23" s="28">
        <f>SUM(B23:F23)</f>
        <v/>
      </c>
    </row>
    <row r="24">
      <c r="A24" s="27" t="n">
        <v>46143</v>
      </c>
      <c r="B24" s="28">
        <f>COUNTIFS(Tasks!$C$2:$C$33,"foundation",Tasks!$F$2:$F$33,"&lt;="&amp;EOMONTH($A24,0),Tasks!$H$2:$H$33,"&gt;="&amp;$A24,Tasks!$D$2:$D$33,"&lt;&gt;parent")</f>
        <v/>
      </c>
      <c r="C24" s="28">
        <f>COUNTIFS(Tasks!$C$2:$C$33,"cycle_1",Tasks!$F$2:$F$33,"&lt;="&amp;EOMONTH($A24,0),Tasks!$H$2:$H$33,"&gt;="&amp;$A24,Tasks!$D$2:$D$33,"&lt;&gt;parent")</f>
        <v/>
      </c>
      <c r="D24" s="28">
        <f>COUNTIFS(Tasks!$C$2:$C$33,"cycle_2_trigger",Tasks!$F$2:$F$33,"&lt;="&amp;EOMONTH($A24,0),Tasks!$H$2:$H$33,"&gt;="&amp;$A24,Tasks!$D$2:$D$33,"&lt;&gt;parent")</f>
        <v/>
      </c>
      <c r="E24" s="28">
        <f>COUNTIFS(Tasks!$C$2:$C$33,"cycle_2",Tasks!$F$2:$F$33,"&lt;="&amp;EOMONTH($A24,0),Tasks!$H$2:$H$33,"&gt;="&amp;$A24,Tasks!$D$2:$D$33,"&lt;&gt;parent")</f>
        <v/>
      </c>
      <c r="F24" s="28">
        <f>COUNTIFS(Tasks!$C$2:$C$33,"submission",Tasks!$F$2:$F$33,"&lt;="&amp;EOMONTH($A24,0),Tasks!$H$2:$H$33,"&gt;="&amp;$A24,Tasks!$D$2:$D$33,"&lt;&gt;parent")</f>
        <v/>
      </c>
      <c r="G24" s="28">
        <f>SUM(B24:F24)</f>
        <v/>
      </c>
    </row>
    <row r="25">
      <c r="A25" s="27" t="n">
        <v>46174</v>
      </c>
      <c r="B25" s="28">
        <f>COUNTIFS(Tasks!$C$2:$C$33,"foundation",Tasks!$F$2:$F$33,"&lt;="&amp;EOMONTH($A25,0),Tasks!$H$2:$H$33,"&gt;="&amp;$A25,Tasks!$D$2:$D$33,"&lt;&gt;parent")</f>
        <v/>
      </c>
      <c r="C25" s="28">
        <f>COUNTIFS(Tasks!$C$2:$C$33,"cycle_1",Tasks!$F$2:$F$33,"&lt;="&amp;EOMONTH($A25,0),Tasks!$H$2:$H$33,"&gt;="&amp;$A25,Tasks!$D$2:$D$33,"&lt;&gt;parent")</f>
        <v/>
      </c>
      <c r="D25" s="28">
        <f>COUNTIFS(Tasks!$C$2:$C$33,"cycle_2_trigger",Tasks!$F$2:$F$33,"&lt;="&amp;EOMONTH($A25,0),Tasks!$H$2:$H$33,"&gt;="&amp;$A25,Tasks!$D$2:$D$33,"&lt;&gt;parent")</f>
        <v/>
      </c>
      <c r="E25" s="28">
        <f>COUNTIFS(Tasks!$C$2:$C$33,"cycle_2",Tasks!$F$2:$F$33,"&lt;="&amp;EOMONTH($A25,0),Tasks!$H$2:$H$33,"&gt;="&amp;$A25,Tasks!$D$2:$D$33,"&lt;&gt;parent")</f>
        <v/>
      </c>
      <c r="F25" s="28">
        <f>COUNTIFS(Tasks!$C$2:$C$33,"submission",Tasks!$F$2:$F$33,"&lt;="&amp;EOMONTH($A25,0),Tasks!$H$2:$H$33,"&gt;="&amp;$A25,Tasks!$D$2:$D$33,"&lt;&gt;parent")</f>
        <v/>
      </c>
      <c r="G25" s="28">
        <f>SUM(B25:F25)</f>
        <v/>
      </c>
    </row>
    <row r="26">
      <c r="A26" s="27" t="n">
        <v>46204</v>
      </c>
      <c r="B26" s="28">
        <f>COUNTIFS(Tasks!$C$2:$C$33,"foundation",Tasks!$F$2:$F$33,"&lt;="&amp;EOMONTH($A26,0),Tasks!$H$2:$H$33,"&gt;="&amp;$A26,Tasks!$D$2:$D$33,"&lt;&gt;parent")</f>
        <v/>
      </c>
      <c r="C26" s="28">
        <f>COUNTIFS(Tasks!$C$2:$C$33,"cycle_1",Tasks!$F$2:$F$33,"&lt;="&amp;EOMONTH($A26,0),Tasks!$H$2:$H$33,"&gt;="&amp;$A26,Tasks!$D$2:$D$33,"&lt;&gt;parent")</f>
        <v/>
      </c>
      <c r="D26" s="28">
        <f>COUNTIFS(Tasks!$C$2:$C$33,"cycle_2_trigger",Tasks!$F$2:$F$33,"&lt;="&amp;EOMONTH($A26,0),Tasks!$H$2:$H$33,"&gt;="&amp;$A26,Tasks!$D$2:$D$33,"&lt;&gt;parent")</f>
        <v/>
      </c>
      <c r="E26" s="28">
        <f>COUNTIFS(Tasks!$C$2:$C$33,"cycle_2",Tasks!$F$2:$F$33,"&lt;="&amp;EOMONTH($A26,0),Tasks!$H$2:$H$33,"&gt;="&amp;$A26,Tasks!$D$2:$D$33,"&lt;&gt;parent")</f>
        <v/>
      </c>
      <c r="F26" s="28">
        <f>COUNTIFS(Tasks!$C$2:$C$33,"submission",Tasks!$F$2:$F$33,"&lt;="&amp;EOMONTH($A26,0),Tasks!$H$2:$H$33,"&gt;="&amp;$A26,Tasks!$D$2:$D$33,"&lt;&gt;parent")</f>
        <v/>
      </c>
      <c r="G26" s="28">
        <f>SUM(B26:F26)</f>
        <v/>
      </c>
    </row>
  </sheetData>
  <conditionalFormatting sqref="B2:F26">
    <cfRule type="colorScale" priority="1">
      <colorScale>
        <cfvo type="num" val="0"/>
        <cfvo type="num" val="3"/>
        <cfvo type="num" val="10"/>
        <color rgb="00FFFFFF"/>
        <color rgb="00FFEB9C"/>
        <color rgb="00C00000"/>
      </colorScale>
    </cfRule>
  </conditionalFormatting>
  <conditionalFormatting sqref="G2:G26">
    <cfRule type="colorScale" priority="2">
      <colorScale>
        <cfvo type="num" val="0"/>
        <cfvo type="num" val="5"/>
        <cfvo type="num" val="15"/>
        <color rgb="00FFFFFF"/>
        <color rgb="00FFEB9C"/>
        <color rgb="00C00000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4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60" customWidth="1" min="4" max="4"/>
    <col width="60" customWidth="1" min="5" max="5"/>
    <col width="22" customWidth="1" min="6" max="6"/>
  </cols>
  <sheetData>
    <row r="1">
      <c r="A1" s="6" t="inlineStr">
        <is>
          <t>file_id</t>
        </is>
      </c>
      <c r="B1" s="6" t="inlineStr">
        <is>
          <t>deliverable_id</t>
        </is>
      </c>
      <c r="C1" s="6" t="inlineStr">
        <is>
          <t>code</t>
        </is>
      </c>
      <c r="D1" s="6" t="inlineStr">
        <is>
          <t>current_path</t>
        </is>
      </c>
      <c r="E1" s="6" t="inlineStr">
        <is>
          <t>title_ar</t>
        </is>
      </c>
      <c r="F1" s="6" t="inlineStr">
        <is>
          <t>role_in_scenario</t>
        </is>
      </c>
    </row>
    <row r="2">
      <c r="A2" s="7" t="inlineStr">
        <is>
          <t>ETEC-FILE-001</t>
        </is>
      </c>
      <c r="B2" s="7" t="inlineStr">
        <is>
          <t>DEL-DOC-001</t>
        </is>
      </c>
      <c r="C2" s="7" t="inlineStr">
        <is>
          <t>DOC-01</t>
        </is>
      </c>
      <c r="D2" s="9" t="inlineStr">
        <is>
          <t>01 وثائق/01 وثيقة استراتيجية الأعمال/الخطة الاستراتيجية للهيئة.pdf</t>
        </is>
      </c>
      <c r="E2" s="9" t="inlineStr">
        <is>
          <t>الخطة الاستراتيجية للهيئة</t>
        </is>
      </c>
      <c r="F2" s="7" t="inlineStr">
        <is>
          <t>foundation</t>
        </is>
      </c>
    </row>
    <row r="3">
      <c r="A3" s="7" t="inlineStr">
        <is>
          <t>ETEC-FILE-002</t>
        </is>
      </c>
      <c r="B3" s="7" t="inlineStr">
        <is>
          <t>DEL-DOC-002</t>
        </is>
      </c>
      <c r="C3" s="7" t="inlineStr">
        <is>
          <t>DOC-02</t>
        </is>
      </c>
      <c r="D3" s="9" t="inlineStr">
        <is>
          <t>01 وثائق/02 وثيقة استراتيجية التحول الرقمي/الخطة الاستراتيجية للبيانات والتحول الرقمي 2026-2028.pdf</t>
        </is>
      </c>
      <c r="E3" s="9" t="inlineStr">
        <is>
          <t>الخطة الاستراتيجية للبيانات والتحول الرقمي 2026-2028</t>
        </is>
      </c>
      <c r="F3" s="7" t="inlineStr">
        <is>
          <t>foundation</t>
        </is>
      </c>
    </row>
    <row r="4">
      <c r="A4" s="7" t="inlineStr">
        <is>
          <t>ETEC-FILE-003</t>
        </is>
      </c>
      <c r="B4" s="7" t="inlineStr">
        <is>
          <t>DEL-DOC-003</t>
        </is>
      </c>
      <c r="C4" s="7" t="inlineStr">
        <is>
          <t>DOC-03</t>
        </is>
      </c>
      <c r="D4" s="9" t="inlineStr">
        <is>
          <t>01 وثائق/03 وثائق الاستراتيجيات الرقمية/استراتيجية الأمن السيبراني- مراجعة 2024.pdf</t>
        </is>
      </c>
      <c r="E4" s="9" t="inlineStr">
        <is>
          <t>استراتيجية الأمن السيبراني- مراجعة 2024</t>
        </is>
      </c>
      <c r="F4" s="7" t="inlineStr">
        <is>
          <t>foundation</t>
        </is>
      </c>
    </row>
    <row r="5">
      <c r="A5" s="7" t="inlineStr">
        <is>
          <t>ETEC-FILE-004</t>
        </is>
      </c>
      <c r="B5" s="7" t="inlineStr">
        <is>
          <t>DEL-DOC-003</t>
        </is>
      </c>
      <c r="C5" s="7" t="inlineStr">
        <is>
          <t>DOC-03</t>
        </is>
      </c>
      <c r="D5" s="9" t="inlineStr">
        <is>
          <t>01 وثائق/03 وثائق الاستراتيجيات الرقمية/المبادرات والمشاريع الواردة في استراتيجية الأمن السيبراني.pdf</t>
        </is>
      </c>
      <c r="E5" s="9" t="inlineStr">
        <is>
          <t>المبادرات والمشاريع الواردة في استراتيجية الأمن السيبراني</t>
        </is>
      </c>
      <c r="F5" s="7" t="inlineStr">
        <is>
          <t>foundation</t>
        </is>
      </c>
    </row>
    <row r="6">
      <c r="A6" s="7" t="inlineStr">
        <is>
          <t>ETEC-FILE-005</t>
        </is>
      </c>
      <c r="B6" s="7" t="inlineStr">
        <is>
          <t>DEL-DOC-004</t>
        </is>
      </c>
      <c r="C6" s="7" t="inlineStr">
        <is>
          <t>DOC-04</t>
        </is>
      </c>
      <c r="D6" s="9" t="inlineStr">
        <is>
          <t>01 وثائق/04 وثيقة استراتيجية البنية المؤسسية/استراتيجية البنية المؤسسية.pptx</t>
        </is>
      </c>
      <c r="E6" s="9" t="inlineStr">
        <is>
          <t>استراتيجية البنية المؤسسية</t>
        </is>
      </c>
      <c r="F6" s="7" t="inlineStr">
        <is>
          <t>foundation</t>
        </is>
      </c>
    </row>
    <row r="7">
      <c r="A7" s="7" t="inlineStr">
        <is>
          <t>ETEC-FILE-006</t>
        </is>
      </c>
      <c r="B7" s="7" t="inlineStr">
        <is>
          <t>DEL-DOC-005</t>
        </is>
      </c>
      <c r="C7" s="7" t="inlineStr">
        <is>
          <t>DOC-05</t>
        </is>
      </c>
      <c r="D7" s="9" t="inlineStr">
        <is>
          <t>01 وثائق/05 وثيقة الهيكل التنظيمي للجهة/الهيكل التنظيمي المعتمد للتحول الرقمي.pdf</t>
        </is>
      </c>
      <c r="E7" s="9" t="inlineStr">
        <is>
          <t>الهيكل التنظيمي المعتمد للتحول الرقمي</t>
        </is>
      </c>
      <c r="F7" s="7" t="inlineStr">
        <is>
          <t>foundation</t>
        </is>
      </c>
    </row>
    <row r="8">
      <c r="A8" s="7" t="inlineStr">
        <is>
          <t>ETEC-FILE-007</t>
        </is>
      </c>
      <c r="B8" s="7" t="inlineStr">
        <is>
          <t>DEL-DOC-005</t>
        </is>
      </c>
      <c r="C8" s="7" t="inlineStr">
        <is>
          <t>DOC-05</t>
        </is>
      </c>
      <c r="D8" s="9" t="inlineStr">
        <is>
          <t>01 وثائق/05 وثيقة الهيكل التنظيمي للجهة/الهيكل التنظيمي للهيئة.pdf</t>
        </is>
      </c>
      <c r="E8" s="9" t="inlineStr">
        <is>
          <t>الهيكل التنظيمي للهيئة</t>
        </is>
      </c>
      <c r="F8" s="7" t="inlineStr">
        <is>
          <t>foundation</t>
        </is>
      </c>
    </row>
    <row r="9">
      <c r="A9" s="7" t="inlineStr">
        <is>
          <t>ETEC-FILE-008</t>
        </is>
      </c>
      <c r="B9" s="7" t="inlineStr">
        <is>
          <t>DEL-DOC-006</t>
        </is>
      </c>
      <c r="C9" s="7" t="inlineStr">
        <is>
          <t>DOC-06</t>
        </is>
      </c>
      <c r="D9" s="9" t="inlineStr">
        <is>
          <t>01 وثائق/06 وثيقة سياسة البنية المؤسسية/ETEC - V01.2 - وثيقة معايير البنية المؤسسية.pptx</t>
        </is>
      </c>
      <c r="E9" s="9" t="inlineStr">
        <is>
          <t>ETEC - V01.2 - وثيقة معايير البنية المؤسسية</t>
        </is>
      </c>
      <c r="F9" s="7" t="inlineStr">
        <is>
          <t>operational</t>
        </is>
      </c>
    </row>
    <row r="10">
      <c r="A10" s="7" t="inlineStr">
        <is>
          <t>ETEC-FILE-009</t>
        </is>
      </c>
      <c r="B10" s="7" t="inlineStr">
        <is>
          <t>DEL-DOC-006</t>
        </is>
      </c>
      <c r="C10" s="7" t="inlineStr">
        <is>
          <t>DOC-06</t>
        </is>
      </c>
      <c r="D10" s="9" t="inlineStr">
        <is>
          <t>01 وثائق/06 وثيقة سياسة البنية المؤسسية/سياسات_البنية_المؤسسية.pptx</t>
        </is>
      </c>
      <c r="E10" s="9" t="inlineStr">
        <is>
          <t>سياسات_البنية_المؤسسية</t>
        </is>
      </c>
      <c r="F10" s="7" t="inlineStr">
        <is>
          <t>operational</t>
        </is>
      </c>
    </row>
    <row r="11">
      <c r="A11" s="7" t="inlineStr">
        <is>
          <t>ETEC-FILE-010</t>
        </is>
      </c>
      <c r="B11" s="7" t="inlineStr">
        <is>
          <t>DEL-DOC-007</t>
        </is>
      </c>
      <c r="C11" s="7" t="inlineStr">
        <is>
          <t>DOC-07</t>
        </is>
      </c>
      <c r="D11" s="9" t="inlineStr">
        <is>
          <t>01 وثائق/07 وثيقة النموذج التشغيلي للبنية المؤسسية/ETEC - V1.50 - وثيقة النموذج التشغيلي للبنية المؤسسية.pptx</t>
        </is>
      </c>
      <c r="E11" s="9" t="inlineStr">
        <is>
          <t>ETEC - V1.50 - وثيقة النموذج التشغيلي للبنية المؤسسية</t>
        </is>
      </c>
      <c r="F11" s="7" t="inlineStr">
        <is>
          <t>operational</t>
        </is>
      </c>
    </row>
    <row r="12">
      <c r="A12" s="7" t="inlineStr">
        <is>
          <t>ETEC-FILE-011</t>
        </is>
      </c>
      <c r="B12" s="7" t="inlineStr">
        <is>
          <t>DEL-DOC-008</t>
        </is>
      </c>
      <c r="C12" s="7" t="inlineStr">
        <is>
          <t>DOC-08</t>
        </is>
      </c>
      <c r="D12" s="9" t="inlineStr">
        <is>
          <t>01 وثائق/08 وثيقة الخطة التشغيلية للبنية المؤسسية/الخطة_التشغيلية_للبنية_المؤسسية_v2.docx</t>
        </is>
      </c>
      <c r="E12" s="9" t="inlineStr">
        <is>
          <t>الخطة_التشغيلية_للبنية_المؤسسية_v2</t>
        </is>
      </c>
      <c r="F12" s="7" t="inlineStr">
        <is>
          <t>operational</t>
        </is>
      </c>
    </row>
    <row r="13">
      <c r="A13" s="7" t="inlineStr">
        <is>
          <t>ETEC-FILE-012</t>
        </is>
      </c>
      <c r="B13" s="7" t="inlineStr">
        <is>
          <t>DEL-DOC-009</t>
        </is>
      </c>
      <c r="C13" s="7" t="inlineStr">
        <is>
          <t>DOC-09</t>
        </is>
      </c>
      <c r="D13" s="9" t="inlineStr">
        <is>
          <t>01 وثائق/09 وثيقة خطة تعزيز الوعي/ETEC - V1.0 - خطة التوعية للبنية المؤسسية.pptx</t>
        </is>
      </c>
      <c r="E13" s="9" t="inlineStr">
        <is>
          <t>ETEC - V1.0 - خطة التوعية للبنية المؤسسية</t>
        </is>
      </c>
      <c r="F13" s="7" t="inlineStr">
        <is>
          <t>operational</t>
        </is>
      </c>
    </row>
    <row r="14">
      <c r="A14" s="7" t="inlineStr">
        <is>
          <t>ETEC-FILE-013</t>
        </is>
      </c>
      <c r="B14" s="7" t="inlineStr">
        <is>
          <t>DEL-DOC-011</t>
        </is>
      </c>
      <c r="C14" s="7" t="inlineStr">
        <is>
          <t>DOC-11</t>
        </is>
      </c>
      <c r="D14" s="9" t="inlineStr">
        <is>
          <t>01 وثائق/11 وثيقة خطة تطوير القدرات والمهارات/ETEC - V1.0 -  خطة التدريب للبنية المؤسسية.pptx</t>
        </is>
      </c>
      <c r="E14" s="9" t="inlineStr">
        <is>
          <t>ETEC - V1.0 -  خطة التدريب للبنية المؤسسية</t>
        </is>
      </c>
      <c r="F14" s="7" t="inlineStr">
        <is>
          <t>operational</t>
        </is>
      </c>
    </row>
    <row r="15">
      <c r="A15" s="7" t="inlineStr">
        <is>
          <t>ETEC-FILE-014</t>
        </is>
      </c>
      <c r="B15" s="7" t="inlineStr">
        <is>
          <t>DEL-DOC-011</t>
        </is>
      </c>
      <c r="C15" s="7" t="inlineStr">
        <is>
          <t>DOC-11</t>
        </is>
      </c>
      <c r="D15" s="9" t="inlineStr">
        <is>
          <t>01 وثائق/11 وثيقة خطة تطوير القدرات والمهارات/جدول ورشة عمل تخصصية لخبراء المجالات - اصدار 1.0.docx</t>
        </is>
      </c>
      <c r="E15" s="9" t="inlineStr">
        <is>
          <t>جدول ورشة عمل تخصصية لخبراء المجالات - اصدار 1.0</t>
        </is>
      </c>
      <c r="F15" s="7" t="inlineStr">
        <is>
          <t>operational</t>
        </is>
      </c>
    </row>
    <row r="16">
      <c r="A16" s="7" t="inlineStr">
        <is>
          <t>ETEC-FILE-015</t>
        </is>
      </c>
      <c r="B16" s="7" t="inlineStr">
        <is>
          <t>DEL-DOC-012</t>
        </is>
      </c>
      <c r="C16" s="7" t="inlineStr">
        <is>
          <t>DOC-12</t>
        </is>
      </c>
      <c r="D16" s="9" t="inlineStr">
        <is>
          <t>01 وثائق/12 وثيقة مبادئ البنية المؤسسية/ETEC - V1.5 - وثيقة مبادئ البنية المؤسسية.pptx</t>
        </is>
      </c>
      <c r="E16" s="9" t="inlineStr">
        <is>
          <t>ETEC - V1.5 - وثيقة مبادئ البنية المؤسسية</t>
        </is>
      </c>
      <c r="F16" s="7" t="inlineStr">
        <is>
          <t>operational</t>
        </is>
      </c>
    </row>
    <row r="17">
      <c r="A17" s="7" t="inlineStr">
        <is>
          <t>ETEC-FILE-016</t>
        </is>
      </c>
      <c r="B17" s="7" t="inlineStr">
        <is>
          <t>DEL-DOC-013</t>
        </is>
      </c>
      <c r="C17" s="7" t="inlineStr">
        <is>
          <t>DOC-13</t>
        </is>
      </c>
      <c r="D17" s="9" t="inlineStr">
        <is>
          <t>01 وثائق/13 وثيقة النموذج العام لمكونات البنية المؤسسية/ETEC - V1.8 - وثيقة النموذج العام لمكونات البنية المؤسسية.pptx</t>
        </is>
      </c>
      <c r="E17" s="9" t="inlineStr">
        <is>
          <t>ETEC - V1.8 - وثيقة النموذج العام لمكونات البنية المؤسسية</t>
        </is>
      </c>
      <c r="F17" s="7" t="inlineStr">
        <is>
          <t>operational</t>
        </is>
      </c>
    </row>
    <row r="18">
      <c r="A18" s="7" t="inlineStr">
        <is>
          <t>ETEC-FILE-017</t>
        </is>
      </c>
      <c r="B18" s="7" t="inlineStr">
        <is>
          <t>DEL-DOC-014</t>
        </is>
      </c>
      <c r="C18" s="7" t="inlineStr">
        <is>
          <t>DOC-14</t>
        </is>
      </c>
      <c r="D18" s="9" t="inlineStr">
        <is>
          <t>01 وثائق/14 وثيقة مناظير البنية المؤسسية/ETEC - V0.93 - وثيقة مناظير البنية المؤسسية.pptx</t>
        </is>
      </c>
      <c r="E18" s="9" t="inlineStr">
        <is>
          <t>ETEC - V0.93 - وثيقة مناظير البنية المؤسسية</t>
        </is>
      </c>
      <c r="F18" s="7" t="inlineStr">
        <is>
          <t>operational</t>
        </is>
      </c>
    </row>
    <row r="19">
      <c r="A19" s="7" t="inlineStr">
        <is>
          <t>ETEC-FILE-018</t>
        </is>
      </c>
      <c r="B19" s="7" t="inlineStr">
        <is>
          <t>DEL-DOC-017</t>
        </is>
      </c>
      <c r="C19" s="7" t="inlineStr">
        <is>
          <t>DOC-17</t>
        </is>
      </c>
      <c r="D19" s="9" t="inlineStr">
        <is>
          <t>01 وثائق/17 وثيقة دورة تطوير مكونات البنية المؤسسية/artifacts-الفجوات/ETEC - فجوات البنية المؤسسية-v2.pptx</t>
        </is>
      </c>
      <c r="E19" s="9" t="inlineStr">
        <is>
          <t>ETEC - فجوات البنية المؤسسية-v2</t>
        </is>
      </c>
      <c r="F19" s="7" t="inlineStr">
        <is>
          <t>cycle-1-gap</t>
        </is>
      </c>
    </row>
    <row r="20">
      <c r="A20" s="7" t="inlineStr">
        <is>
          <t>ETEC-FILE-019</t>
        </is>
      </c>
      <c r="B20" s="7" t="inlineStr">
        <is>
          <t>DEL-DOC-017</t>
        </is>
      </c>
      <c r="C20" s="7" t="inlineStr">
        <is>
          <t>DOC-17</t>
        </is>
      </c>
      <c r="D20" s="9" t="inlineStr">
        <is>
          <t>01 وثائق/17 وثيقة دورة تطوير مكونات البنية المؤسسية/artifacts-الوضع-الحالي/وثيقة الوضع الحالي لبنية الأعمال V1.5.pptx</t>
        </is>
      </c>
      <c r="E20" s="9" t="inlineStr">
        <is>
          <t>وثيقة الوضع الحالي لبنية الأعمال V1.5</t>
        </is>
      </c>
      <c r="F20" s="7" t="inlineStr">
        <is>
          <t>cycle-1-as-is</t>
        </is>
      </c>
    </row>
    <row r="21">
      <c r="A21" s="7" t="inlineStr">
        <is>
          <t>ETEC-FILE-020</t>
        </is>
      </c>
      <c r="B21" s="7" t="inlineStr">
        <is>
          <t>DEL-DOC-017</t>
        </is>
      </c>
      <c r="C21" s="7" t="inlineStr">
        <is>
          <t>DOC-17</t>
        </is>
      </c>
      <c r="D21" s="9" t="inlineStr">
        <is>
          <t>01 وثائق/17 وثيقة دورة تطوير مكونات البنية المؤسسية/artifacts-الوضع-الحالي/وثيقة الوضع الحالي للتطبيقات - V0.2.pptx</t>
        </is>
      </c>
      <c r="E21" s="9" t="inlineStr">
        <is>
          <t>وثيقة الوضع الحالي للتطبيقات - V0.2</t>
        </is>
      </c>
      <c r="F21" s="7" t="inlineStr">
        <is>
          <t>cycle-1-as-is</t>
        </is>
      </c>
    </row>
    <row r="22">
      <c r="A22" s="7" t="inlineStr">
        <is>
          <t>ETEC-FILE-021</t>
        </is>
      </c>
      <c r="B22" s="7" t="inlineStr">
        <is>
          <t>DEL-DOC-017</t>
        </is>
      </c>
      <c r="C22" s="7" t="inlineStr">
        <is>
          <t>DOC-17</t>
        </is>
      </c>
      <c r="D22" s="9" t="inlineStr">
        <is>
          <t>01 وثائق/17 وثيقة دورة تطوير مكونات البنية المؤسسية/artifacts-الوضع-الحالي/‪وثيقة الوضع الحالي لبنية البيانات 0.4.pdf</t>
        </is>
      </c>
      <c r="E22" s="9" t="inlineStr">
        <is>
          <t>‪وثيقة الوضع الحالي لبنية البيانات 0.4</t>
        </is>
      </c>
      <c r="F22" s="7" t="inlineStr">
        <is>
          <t>cycle-1-as-is</t>
        </is>
      </c>
    </row>
    <row r="23">
      <c r="A23" s="7" t="inlineStr">
        <is>
          <t>ETEC-FILE-022</t>
        </is>
      </c>
      <c r="B23" s="7" t="inlineStr">
        <is>
          <t>DEL-DOC-017</t>
        </is>
      </c>
      <c r="C23" s="7" t="inlineStr">
        <is>
          <t>DOC-17</t>
        </is>
      </c>
      <c r="D23" s="9" t="inlineStr">
        <is>
          <t>01 وثائق/17 وثيقة دورة تطوير مكونات البنية المؤسسية/artifacts-الوضع-المستقبلي/TargetState Technology3.pptx</t>
        </is>
      </c>
      <c r="E23" s="9" t="inlineStr">
        <is>
          <t>TargetState Technology3</t>
        </is>
      </c>
      <c r="F23" s="7" t="inlineStr">
        <is>
          <t>cycle-1-to-be</t>
        </is>
      </c>
    </row>
    <row r="24">
      <c r="A24" s="7" t="inlineStr">
        <is>
          <t>ETEC-FILE-023</t>
        </is>
      </c>
      <c r="B24" s="7" t="inlineStr">
        <is>
          <t>DEL-DOC-017</t>
        </is>
      </c>
      <c r="C24" s="7" t="inlineStr">
        <is>
          <t>DOC-17</t>
        </is>
      </c>
      <c r="D24" s="9" t="inlineStr">
        <is>
          <t>01 وثائق/17 وثيقة دورة تطوير مكونات البنية المؤسسية/artifacts-الوضع-المستقبلي/وثيقة الوضع المستقبلي لبنية الأعمال V1.4.pptx</t>
        </is>
      </c>
      <c r="E24" s="9" t="inlineStr">
        <is>
          <t>وثيقة الوضع المستقبلي لبنية الأعمال V1.4</t>
        </is>
      </c>
      <c r="F24" s="7" t="inlineStr">
        <is>
          <t>cycle-1-to-be</t>
        </is>
      </c>
    </row>
    <row r="25">
      <c r="A25" s="7" t="inlineStr">
        <is>
          <t>ETEC-FILE-024</t>
        </is>
      </c>
      <c r="B25" s="7" t="inlineStr">
        <is>
          <t>DEL-DOC-017</t>
        </is>
      </c>
      <c r="C25" s="7" t="inlineStr">
        <is>
          <t>DOC-17</t>
        </is>
      </c>
      <c r="D25" s="9" t="inlineStr">
        <is>
          <t>01 وثائق/17 وثيقة دورة تطوير مكونات البنية المؤسسية/artifacts-الوضع-المستقبلي/وثيقة الوضع المستقبلي لبنية البيانات-v3.0.pptx</t>
        </is>
      </c>
      <c r="E25" s="9" t="inlineStr">
        <is>
          <t>وثيقة الوضع المستقبلي لبنية البيانات-v3.0</t>
        </is>
      </c>
      <c r="F25" s="7" t="inlineStr">
        <is>
          <t>cycle-1-to-be</t>
        </is>
      </c>
    </row>
    <row r="26">
      <c r="A26" s="7" t="inlineStr">
        <is>
          <t>ETEC-FILE-025</t>
        </is>
      </c>
      <c r="B26" s="7" t="inlineStr">
        <is>
          <t>DEL-DOC-017</t>
        </is>
      </c>
      <c r="C26" s="7" t="inlineStr">
        <is>
          <t>DOC-17</t>
        </is>
      </c>
      <c r="D26" s="9" t="inlineStr">
        <is>
          <t>01 وثائق/17 وثيقة دورة تطوير مكونات البنية المؤسسية/artifacts-الوضع-المستقبلي/وثيقة الوضع المستقبلي لبنية التطبيقات[4]- 9-3-2025.pptx</t>
        </is>
      </c>
      <c r="E26" s="9" t="inlineStr">
        <is>
          <t>وثيقة الوضع المستقبلي لبنية التطبيقات[4]- 9-3-2025</t>
        </is>
      </c>
      <c r="F26" s="7" t="inlineStr">
        <is>
          <t>cycle-1-to-be</t>
        </is>
      </c>
    </row>
    <row r="27">
      <c r="A27" s="7" t="inlineStr">
        <is>
          <t>ETEC-FILE-026</t>
        </is>
      </c>
      <c r="B27" s="7" t="inlineStr">
        <is>
          <t>DEL-DOC-018</t>
        </is>
      </c>
      <c r="C27" s="7" t="inlineStr">
        <is>
          <t>DOC-18</t>
        </is>
      </c>
      <c r="D27" s="9" t="inlineStr">
        <is>
          <t>01 وثائق/18 وثيقة النماذج المرجعية للبنية المؤسسية/ETEC - V1.5 - وثيقة النماذج المرجعية للبنية المؤسسية.pptx</t>
        </is>
      </c>
      <c r="E27" s="9" t="inlineStr">
        <is>
          <t>ETEC - V1.5 - وثيقة النماذج المرجعية للبنية المؤسسية</t>
        </is>
      </c>
      <c r="F27" s="7" t="inlineStr">
        <is>
          <t>operational</t>
        </is>
      </c>
    </row>
    <row r="28">
      <c r="A28" s="7" t="inlineStr">
        <is>
          <t>ETEC-FILE-027</t>
        </is>
      </c>
      <c r="B28" s="7" t="inlineStr">
        <is>
          <t>DEL-DOC-019</t>
        </is>
      </c>
      <c r="C28" s="7" t="inlineStr">
        <is>
          <t>DOC-19</t>
        </is>
      </c>
      <c r="D28" s="9" t="inlineStr">
        <is>
          <t>01 وثائق/19 وثيقة خارطة الطريق للتحول الرقمي/خارطة طريق التحول الرقمي V1.0.pptx</t>
        </is>
      </c>
      <c r="E28" s="9" t="inlineStr">
        <is>
          <t>خارطة طريق التحول الرقمي V1.0</t>
        </is>
      </c>
      <c r="F28" s="7" t="inlineStr">
        <is>
          <t>operational</t>
        </is>
      </c>
    </row>
    <row r="29">
      <c r="A29" s="7" t="inlineStr">
        <is>
          <t>ETEC-FILE-028</t>
        </is>
      </c>
      <c r="B29" s="7" t="inlineStr">
        <is>
          <t>DEL-DOC-019</t>
        </is>
      </c>
      <c r="C29" s="7" t="inlineStr">
        <is>
          <t>DOC-19</t>
        </is>
      </c>
      <c r="D29" s="9" t="inlineStr">
        <is>
          <t>01 وثائق/19 وثيقة خارطة الطريق للتحول الرقمي/مشاريع التحول الرقمي الجديدة.xlsx</t>
        </is>
      </c>
      <c r="E29" s="9" t="inlineStr">
        <is>
          <t>مشاريع التحول الرقمي الجديدة</t>
        </is>
      </c>
      <c r="F29" s="7" t="inlineStr">
        <is>
          <t>operational</t>
        </is>
      </c>
    </row>
    <row r="30">
      <c r="A30" s="7" t="inlineStr">
        <is>
          <t>ETEC-FILE-029</t>
        </is>
      </c>
      <c r="B30" s="7" t="inlineStr">
        <is>
          <t>DEL-DOC-020</t>
        </is>
      </c>
      <c r="C30" s="7" t="inlineStr">
        <is>
          <t>DOC-20</t>
        </is>
      </c>
      <c r="D30" s="9" t="inlineStr">
        <is>
          <t>01 وثائق/20 وثيقة متطلبات البنية المؤسسية/سجل متطلبات البنية_v0.2.xlsx</t>
        </is>
      </c>
      <c r="E30" s="9" t="inlineStr">
        <is>
          <t>سجل متطلبات البنية_v0.2</t>
        </is>
      </c>
      <c r="F30" s="7" t="inlineStr">
        <is>
          <t>operational</t>
        </is>
      </c>
    </row>
    <row r="31">
      <c r="A31" s="7" t="inlineStr">
        <is>
          <t>ETEC-FILE-030</t>
        </is>
      </c>
      <c r="B31" s="7" t="inlineStr">
        <is>
          <t>DEL-DOC-020</t>
        </is>
      </c>
      <c r="C31" s="7" t="inlineStr">
        <is>
          <t>DOC-20</t>
        </is>
      </c>
      <c r="D31" s="9" t="inlineStr">
        <is>
          <t>01 وثائق/20 وثيقة متطلبات البنية المؤسسية/وثيقة متطلبات البنية المؤسسية.pptx</t>
        </is>
      </c>
      <c r="E31" s="9" t="inlineStr">
        <is>
          <t>وثيقة متطلبات البنية المؤسسية</t>
        </is>
      </c>
      <c r="F31" s="7" t="inlineStr">
        <is>
          <t>operational</t>
        </is>
      </c>
    </row>
    <row r="32">
      <c r="A32" s="7" t="inlineStr">
        <is>
          <t>ETEC-FILE-031</t>
        </is>
      </c>
      <c r="B32" s="7" t="inlineStr">
        <is>
          <t>DEL-RPT-002</t>
        </is>
      </c>
      <c r="C32" s="7" t="inlineStr">
        <is>
          <t>RPT-02</t>
        </is>
      </c>
      <c r="D32" s="9" t="inlineStr">
        <is>
          <t>02 تقارير/02 التقرير الربعي لحالة انجاز أعمال البنية المؤسسية/ETEC - Q1 2025 - تقرير متابعة مشاريع التحول الرقمي.xlsx</t>
        </is>
      </c>
      <c r="E32" s="9" t="inlineStr">
        <is>
          <t>ETEC - Q1 2025 - تقرير متابعة مشاريع التحول الرقمي</t>
        </is>
      </c>
      <c r="F32" s="7" t="inlineStr">
        <is>
          <t>operational</t>
        </is>
      </c>
    </row>
    <row r="33">
      <c r="A33" s="7" t="inlineStr">
        <is>
          <t>ETEC-FILE-032</t>
        </is>
      </c>
      <c r="B33" s="7" t="inlineStr">
        <is>
          <t>DEL-RPT-002</t>
        </is>
      </c>
      <c r="C33" s="7" t="inlineStr">
        <is>
          <t>RPT-02</t>
        </is>
      </c>
      <c r="D33" s="9" t="inlineStr">
        <is>
          <t>02 تقارير/02 التقرير الربعي لحالة انجاز أعمال البنية المؤسسية/ETEC - Q2 2025 - تقرير متابعة مشاريع التحول الرقمي.xlsx</t>
        </is>
      </c>
      <c r="E33" s="9" t="inlineStr">
        <is>
          <t>ETEC - Q2 2025 - تقرير متابعة مشاريع التحول الرقمي</t>
        </is>
      </c>
      <c r="F33" s="7" t="inlineStr">
        <is>
          <t>operational</t>
        </is>
      </c>
    </row>
    <row r="34">
      <c r="A34" s="7" t="inlineStr">
        <is>
          <t>ETEC-FILE-033</t>
        </is>
      </c>
      <c r="B34" s="7" t="inlineStr">
        <is>
          <t>DEL-RPT-002</t>
        </is>
      </c>
      <c r="C34" s="7" t="inlineStr">
        <is>
          <t>RPT-02</t>
        </is>
      </c>
      <c r="D34" s="9" t="inlineStr">
        <is>
          <t>02 تقارير/02 التقرير الربعي لحالة انجاز أعمال البنية المؤسسية/ETEC - Q3 2025 - تقرير متابعة مشاريع التحول الرقمي.xlsx</t>
        </is>
      </c>
      <c r="E34" s="9" t="inlineStr">
        <is>
          <t>ETEC - Q3 2025 - تقرير متابعة مشاريع التحول الرقمي</t>
        </is>
      </c>
      <c r="F34" s="7" t="inlineStr">
        <is>
          <t>operational</t>
        </is>
      </c>
    </row>
    <row r="35">
      <c r="A35" s="7" t="inlineStr">
        <is>
          <t>ETEC-FILE-034</t>
        </is>
      </c>
      <c r="B35" s="7" t="inlineStr">
        <is>
          <t>DEL-RPT-002</t>
        </is>
      </c>
      <c r="C35" s="7" t="inlineStr">
        <is>
          <t>RPT-02</t>
        </is>
      </c>
      <c r="D35" s="9" t="inlineStr">
        <is>
          <t>02 تقارير/02 التقرير الربعي لحالة انجاز أعمال البنية المؤسسية/ETEC - Q4 2025 - تقرير متابعة مشاريع التحول الرقمي.xlsx</t>
        </is>
      </c>
      <c r="E35" s="9" t="inlineStr">
        <is>
          <t>ETEC - Q4 2025 - تقرير متابعة مشاريع التحول الرقمي</t>
        </is>
      </c>
      <c r="F35" s="7" t="inlineStr">
        <is>
          <t>operational</t>
        </is>
      </c>
    </row>
    <row r="36">
      <c r="A36" s="7" t="inlineStr">
        <is>
          <t>ETEC-FILE-035</t>
        </is>
      </c>
      <c r="B36" s="7" t="inlineStr">
        <is>
          <t>DEL-DEC-001</t>
        </is>
      </c>
      <c r="C36" s="7" t="inlineStr">
        <is>
          <t>DEC-01</t>
        </is>
      </c>
      <c r="D36" s="9" t="inlineStr">
        <is>
          <t>03 قرارات/01 قرارات تعيين أو تكليف رسمي لفريق عمل الوحدة التنظيمية للبنية المؤسسية/قرار تشكيل فريق البنية المؤسسية.pdf</t>
        </is>
      </c>
      <c r="E36" s="9" t="inlineStr">
        <is>
          <t>قرار تشكيل فريق البنية المؤسسية</t>
        </is>
      </c>
      <c r="F36" s="7" t="inlineStr">
        <is>
          <t>governance</t>
        </is>
      </c>
    </row>
    <row r="37">
      <c r="A37" s="7" t="inlineStr">
        <is>
          <t>ETEC-FILE-036</t>
        </is>
      </c>
      <c r="B37" s="7" t="inlineStr">
        <is>
          <t>DEL-DEC-002</t>
        </is>
      </c>
      <c r="C37" s="7" t="inlineStr">
        <is>
          <t>DEC-02</t>
        </is>
      </c>
      <c r="D37" s="9" t="inlineStr">
        <is>
          <t>03 قرارات/02 قرار تعيين كبير مهندسي البنية المؤسسية/قرار إداري تعيين مدير قسم البنية المؤسسية.pdf</t>
        </is>
      </c>
      <c r="E37" s="9" t="inlineStr">
        <is>
          <t>قرار إداري تعيين مدير قسم البنية المؤسسية</t>
        </is>
      </c>
      <c r="F37" s="7" t="inlineStr">
        <is>
          <t>governance</t>
        </is>
      </c>
    </row>
    <row r="38">
      <c r="A38" s="7" t="inlineStr">
        <is>
          <t>ETEC-FILE-037</t>
        </is>
      </c>
      <c r="B38" s="7" t="inlineStr">
        <is>
          <t>DEL-MIN-002</t>
        </is>
      </c>
      <c r="C38" s="7" t="inlineStr">
        <is>
          <t>MIN-02</t>
        </is>
      </c>
      <c r="D38" s="9" t="inlineStr">
        <is>
          <t>04 محاضر/02 محاضر اجتماعات اللجان الرقمية/3 - محاضر الاجتماعات الدورية لمكتب البنية المؤسسية.pdf</t>
        </is>
      </c>
      <c r="E38" s="9" t="inlineStr">
        <is>
          <t>3 - محاضر الاجتماعات الدورية لمكتب البنية المؤسسية</t>
        </is>
      </c>
      <c r="F38" s="7" t="inlineStr">
        <is>
          <t>operational</t>
        </is>
      </c>
    </row>
    <row r="39">
      <c r="A39" s="7" t="inlineStr">
        <is>
          <t>ETEC-FILE-038</t>
        </is>
      </c>
      <c r="B39" s="7" t="inlineStr">
        <is>
          <t>DEL-MIN-002</t>
        </is>
      </c>
      <c r="C39" s="7" t="inlineStr">
        <is>
          <t>MIN-02</t>
        </is>
      </c>
      <c r="D39" s="9" t="inlineStr">
        <is>
          <t>04 محاضر/02 محاضر اجتماعات اللجان الرقمية/الاجتماع الاسبوعي الأحد - 16-11-2025.docx</t>
        </is>
      </c>
      <c r="E39" s="9" t="inlineStr">
        <is>
          <t>الاجتماع الاسبوعي الأحد - 16-11-2025</t>
        </is>
      </c>
      <c r="F39" s="7" t="inlineStr">
        <is>
          <t>operational</t>
        </is>
      </c>
    </row>
    <row r="40">
      <c r="A40" s="7" t="inlineStr">
        <is>
          <t>ETEC-FILE-039</t>
        </is>
      </c>
      <c r="B40" s="7" t="inlineStr">
        <is>
          <t>DEL-MIN-002</t>
        </is>
      </c>
      <c r="C40" s="7" t="inlineStr">
        <is>
          <t>MIN-02</t>
        </is>
      </c>
      <c r="D40" s="9" t="inlineStr">
        <is>
          <t>04 محاضر/02 محاضر اجتماعات اللجان الرقمية/محضر الاجتماع الدوري لقسم البنية المؤسسية 07-12-2025.pdf</t>
        </is>
      </c>
      <c r="E40" s="9" t="inlineStr">
        <is>
          <t>محضر الاجتماع الدوري لقسم البنية المؤسسية 07-12-2025</t>
        </is>
      </c>
      <c r="F40" s="7" t="inlineStr">
        <is>
          <t>operational</t>
        </is>
      </c>
    </row>
    <row r="41">
      <c r="A41" s="7" t="inlineStr">
        <is>
          <t>ETEC-FILE-040</t>
        </is>
      </c>
      <c r="B41" s="7" t="inlineStr">
        <is>
          <t>DEL-MIN-002</t>
        </is>
      </c>
      <c r="C41" s="7" t="inlineStr">
        <is>
          <t>MIN-02</t>
        </is>
      </c>
      <c r="D41" s="9" t="inlineStr">
        <is>
          <t>04 محاضر/02 محاضر اجتماعات اللجان الرقمية/محضر الاجتماع الدوري لقسم البنية المؤسسية 14-12-2025.pdf</t>
        </is>
      </c>
      <c r="E41" s="9" t="inlineStr">
        <is>
          <t>محضر الاجتماع الدوري لقسم البنية المؤسسية 14-12-2025</t>
        </is>
      </c>
      <c r="F41" s="7" t="inlineStr">
        <is>
          <t>operational</t>
        </is>
      </c>
    </row>
    <row r="42">
      <c r="A42" s="7" t="inlineStr">
        <is>
          <t>ETEC-FILE-041</t>
        </is>
      </c>
      <c r="B42" s="7" t="inlineStr">
        <is>
          <t>DEL-MIN-002</t>
        </is>
      </c>
      <c r="C42" s="7" t="inlineStr">
        <is>
          <t>MIN-02</t>
        </is>
      </c>
      <c r="D42" s="9" t="inlineStr">
        <is>
          <t>04 محاضر/02 محاضر اجتماعات اللجان الرقمية/محضر الاجتماع الدوري لقسم البنية المؤسسية 21-12-2025.pdf</t>
        </is>
      </c>
      <c r="E42" s="9" t="inlineStr">
        <is>
          <t>محضر الاجتماع الدوري لقسم البنية المؤسسية 21-12-2025</t>
        </is>
      </c>
      <c r="F42" s="7" t="inlineStr">
        <is>
          <t>operational</t>
        </is>
      </c>
    </row>
    <row r="43">
      <c r="A43" s="7" t="inlineStr">
        <is>
          <t>ETEC-FILE-042</t>
        </is>
      </c>
      <c r="B43" s="7" t="inlineStr">
        <is>
          <t>DEL-MIN-002</t>
        </is>
      </c>
      <c r="C43" s="7" t="inlineStr">
        <is>
          <t>MIN-02</t>
        </is>
      </c>
      <c r="D43" s="9" t="inlineStr">
        <is>
          <t>04 محاضر/02 محاضر اجتماعات اللجان الرقمية/محضر الاجتماع الدوري لقسم البنية المؤسسية 228-12-2025.pdf</t>
        </is>
      </c>
      <c r="E43" s="9" t="inlineStr">
        <is>
          <t>محضر الاجتماع الدوري لقسم البنية المؤسسية 228-12-2025</t>
        </is>
      </c>
      <c r="F43" s="7" t="inlineStr">
        <is>
          <t>operational</t>
        </is>
      </c>
    </row>
    <row r="44">
      <c r="A44" s="7" t="inlineStr">
        <is>
          <t>ETEC-FILE-043</t>
        </is>
      </c>
      <c r="B44" s="7" t="inlineStr">
        <is>
          <t>DEL-MIN-002</t>
        </is>
      </c>
      <c r="C44" s="7" t="inlineStr">
        <is>
          <t>MIN-02</t>
        </is>
      </c>
      <c r="D44" s="9" t="inlineStr">
        <is>
          <t>04 محاضر/02 محاضر اجتماعات اللجان الرقمية/محضر الاجتماع الدوري لقسم البنية المؤسسية- 30 نوفمبر 2025.docx</t>
        </is>
      </c>
      <c r="E44" s="9" t="inlineStr">
        <is>
          <t>محضر الاجتماع الدوري لقسم البنية المؤسسية- 30 نوفمبر 2025</t>
        </is>
      </c>
      <c r="F44" s="7" t="inlineStr">
        <is>
          <t>operational</t>
        </is>
      </c>
    </row>
    <row r="45">
      <c r="A45" s="7" t="inlineStr">
        <is>
          <t>ETEC-FILE-044</t>
        </is>
      </c>
      <c r="B45" s="7" t="inlineStr">
        <is>
          <t>DEL-MIN-002</t>
        </is>
      </c>
      <c r="C45" s="7" t="inlineStr">
        <is>
          <t>MIN-02</t>
        </is>
      </c>
      <c r="D45" s="9" t="inlineStr">
        <is>
          <t>04 محاضر/02 محاضر اجتماعات اللجان الرقمية/محضر الاجتماع الدوري لقسم البنية المؤسسية- ٢٣ نوفمبر ٢٠٢٥.docx</t>
        </is>
      </c>
      <c r="E45" s="9" t="inlineStr">
        <is>
          <t>محضر الاجتماع الدوري لقسم البنية المؤسسية- ٢٣ نوفمبر ٢٠٢٥</t>
        </is>
      </c>
      <c r="F45" s="7" t="inlineStr">
        <is>
          <t>operational</t>
        </is>
      </c>
    </row>
    <row r="46">
      <c r="A46" s="7" t="inlineStr">
        <is>
          <t>ETEC-FILE-045</t>
        </is>
      </c>
      <c r="B46" s="7" t="inlineStr">
        <is>
          <t>DEL-MIN-002</t>
        </is>
      </c>
      <c r="C46" s="7" t="inlineStr">
        <is>
          <t>MIN-02</t>
        </is>
      </c>
      <c r="D46" s="9" t="inlineStr">
        <is>
          <t>04 محاضر/02 محاضر اجتماعات اللجان الرقمية/محضر الاجتماع الدوري لقسم البنية المؤسسية04-01-2026.pdf</t>
        </is>
      </c>
      <c r="E46" s="9" t="inlineStr">
        <is>
          <t>محضر الاجتماع الدوري لقسم البنية المؤسسية04-01-2026</t>
        </is>
      </c>
      <c r="F46" s="7" t="inlineStr">
        <is>
          <t>operational</t>
        </is>
      </c>
    </row>
    <row r="47">
      <c r="A47" s="7" t="inlineStr">
        <is>
          <t>ETEC-FILE-046</t>
        </is>
      </c>
      <c r="B47" s="7" t="inlineStr">
        <is>
          <t>DEL-MIN-002</t>
        </is>
      </c>
      <c r="C47" s="7" t="inlineStr">
        <is>
          <t>MIN-02</t>
        </is>
      </c>
      <c r="D47" s="9" t="inlineStr">
        <is>
          <t>04 محاضر/02 محاضر اجتماعات اللجان الرقمية/محضر الاجتماع الدوري لقسم البنية المؤسسية11-01-2026.pdf</t>
        </is>
      </c>
      <c r="E47" s="9" t="inlineStr">
        <is>
          <t>محضر الاجتماع الدوري لقسم البنية المؤسسية11-01-2026</t>
        </is>
      </c>
      <c r="F47" s="7" t="inlineStr">
        <is>
          <t>operational</t>
        </is>
      </c>
    </row>
    <row r="48">
      <c r="A48" s="7" t="inlineStr">
        <is>
          <t>ETEC-FILE-047</t>
        </is>
      </c>
      <c r="B48" s="7" t="inlineStr">
        <is>
          <t>DEL-MIN-002</t>
        </is>
      </c>
      <c r="C48" s="7" t="inlineStr">
        <is>
          <t>MIN-02</t>
        </is>
      </c>
      <c r="D48" s="9" t="inlineStr">
        <is>
          <t>04 محاضر/02 محاضر اجتماعات اللجان الرقمية/محضر الاجتماع الدوري لقسم البنية المؤسسية18-01-2026.pdf</t>
        </is>
      </c>
      <c r="E48" s="9" t="inlineStr">
        <is>
          <t>محضر الاجتماع الدوري لقسم البنية المؤسسية18-01-2026</t>
        </is>
      </c>
      <c r="F48" s="7" t="inlineStr">
        <is>
          <t>operational</t>
        </is>
      </c>
    </row>
    <row r="49">
      <c r="A49" s="7" t="inlineStr">
        <is>
          <t>ETEC-FILE-048</t>
        </is>
      </c>
      <c r="B49" s="7" t="inlineStr">
        <is>
          <t>DEL-MIN-002</t>
        </is>
      </c>
      <c r="C49" s="7" t="inlineStr">
        <is>
          <t>MIN-02</t>
        </is>
      </c>
      <c r="D49" s="9" t="inlineStr">
        <is>
          <t>04 محاضر/02 محاضر اجتماعات اللجان الرقمية/محضر الاجتماع الدوري لقسم البنية المؤسسية26-01-2026.pdf</t>
        </is>
      </c>
      <c r="E49" s="9" t="inlineStr">
        <is>
          <t>محضر الاجتماع الدوري لقسم البنية المؤسسية26-01-2026</t>
        </is>
      </c>
      <c r="F49" s="7" t="inlineStr">
        <is>
          <t>operational</t>
        </is>
      </c>
    </row>
    <row r="50">
      <c r="A50" s="7" t="inlineStr">
        <is>
          <t>ETEC-FILE-049</t>
        </is>
      </c>
      <c r="B50" s="7" t="inlineStr">
        <is>
          <t>DEL-EVI-001</t>
        </is>
      </c>
      <c r="C50" s="7" t="inlineStr">
        <is>
          <t>EVI-01</t>
        </is>
      </c>
      <c r="D50" s="9" t="inlineStr">
        <is>
          <t>05 شواهد/01 إنجاز خطة تطوير القدرات والمهارات/Togaf foundation and certified.pdf</t>
        </is>
      </c>
      <c r="E50" s="9" t="inlineStr">
        <is>
          <t>Togaf foundation and certified</t>
        </is>
      </c>
      <c r="F50" s="7" t="inlineStr">
        <is>
          <t>training-certificate</t>
        </is>
      </c>
    </row>
    <row r="51">
      <c r="A51" s="7" t="inlineStr">
        <is>
          <t>ETEC-FILE-050</t>
        </is>
      </c>
      <c r="B51" s="7" t="inlineStr">
        <is>
          <t>DEL-EVI-001</t>
        </is>
      </c>
      <c r="C51" s="7" t="inlineStr">
        <is>
          <t>EVI-01</t>
        </is>
      </c>
      <c r="D51" s="9" t="inlineStr">
        <is>
          <t>05 شواهد/01 إنجاز خطة تطوير القدرات والمهارات/م. الاء ناصر الوطبان.pdf</t>
        </is>
      </c>
      <c r="E51" s="9" t="inlineStr">
        <is>
          <t>م. الاء ناصر الوطبان</t>
        </is>
      </c>
      <c r="F51" s="7" t="inlineStr">
        <is>
          <t>training-certificate</t>
        </is>
      </c>
    </row>
    <row r="52">
      <c r="A52" s="7" t="inlineStr">
        <is>
          <t>ETEC-FILE-051</t>
        </is>
      </c>
      <c r="B52" s="7" t="inlineStr">
        <is>
          <t>DEL-EVI-001</t>
        </is>
      </c>
      <c r="C52" s="7" t="inlineStr">
        <is>
          <t>EVI-01</t>
        </is>
      </c>
      <c r="D52" s="9" t="inlineStr">
        <is>
          <t>05 شواهد/01 إنجاز خطة تطوير القدرات والمهارات/م. بدر مساعد العيسى.pdf</t>
        </is>
      </c>
      <c r="E52" s="9" t="inlineStr">
        <is>
          <t>م. بدر مساعد العيسى</t>
        </is>
      </c>
      <c r="F52" s="7" t="inlineStr">
        <is>
          <t>training-certificate</t>
        </is>
      </c>
    </row>
    <row r="53">
      <c r="A53" s="7" t="inlineStr">
        <is>
          <t>ETEC-FILE-052</t>
        </is>
      </c>
      <c r="B53" s="7" t="inlineStr">
        <is>
          <t>DEL-EVI-001</t>
        </is>
      </c>
      <c r="C53" s="7" t="inlineStr">
        <is>
          <t>EVI-01</t>
        </is>
      </c>
      <c r="D53" s="9" t="inlineStr">
        <is>
          <t>05 شواهد/01 إنجاز خطة تطوير القدرات والمهارات/م. دانا جارالله الغضبان.pdf</t>
        </is>
      </c>
      <c r="E53" s="9" t="inlineStr">
        <is>
          <t>م. دانا جارالله الغضبان</t>
        </is>
      </c>
      <c r="F53" s="7" t="inlineStr">
        <is>
          <t>training-certificate</t>
        </is>
      </c>
    </row>
    <row r="54">
      <c r="A54" s="7" t="inlineStr">
        <is>
          <t>ETEC-FILE-053</t>
        </is>
      </c>
      <c r="B54" s="7" t="inlineStr">
        <is>
          <t>DEL-EVI-001</t>
        </is>
      </c>
      <c r="C54" s="7" t="inlineStr">
        <is>
          <t>EVI-01</t>
        </is>
      </c>
      <c r="D54" s="9" t="inlineStr">
        <is>
          <t>05 شواهد/01 إنجاز خطة تطوير القدرات والمهارات/م. رائد عبدالرحمن الغامدي.pdf</t>
        </is>
      </c>
      <c r="E54" s="9" t="inlineStr">
        <is>
          <t>م. رائد عبدالرحمن الغامدي</t>
        </is>
      </c>
      <c r="F54" s="7" t="inlineStr">
        <is>
          <t>training-certificate</t>
        </is>
      </c>
    </row>
    <row r="55">
      <c r="A55" s="7" t="inlineStr">
        <is>
          <t>ETEC-FILE-054</t>
        </is>
      </c>
      <c r="B55" s="7" t="inlineStr">
        <is>
          <t>DEL-EVI-001</t>
        </is>
      </c>
      <c r="C55" s="7" t="inlineStr">
        <is>
          <t>EVI-01</t>
        </is>
      </c>
      <c r="D55" s="9" t="inlineStr">
        <is>
          <t>05 شواهد/01 إنجاز خطة تطوير القدرات والمهارات/م. روان نايف العنزي.pdf</t>
        </is>
      </c>
      <c r="E55" s="9" t="inlineStr">
        <is>
          <t>م. روان نايف العنزي</t>
        </is>
      </c>
      <c r="F55" s="7" t="inlineStr">
        <is>
          <t>training-certificate</t>
        </is>
      </c>
    </row>
    <row r="56">
      <c r="A56" s="7" t="inlineStr">
        <is>
          <t>ETEC-FILE-055</t>
        </is>
      </c>
      <c r="B56" s="7" t="inlineStr">
        <is>
          <t>DEL-EVI-001</t>
        </is>
      </c>
      <c r="C56" s="7" t="inlineStr">
        <is>
          <t>EVI-01</t>
        </is>
      </c>
      <c r="D56" s="9" t="inlineStr">
        <is>
          <t>05 شواهد/01 إنجاز خطة تطوير القدرات والمهارات/م. عبدالإله سعد المغيره.pdf</t>
        </is>
      </c>
      <c r="E56" s="9" t="inlineStr">
        <is>
          <t>م. عبدالإله سعد المغيره</t>
        </is>
      </c>
      <c r="F56" s="7" t="inlineStr">
        <is>
          <t>training-certificate</t>
        </is>
      </c>
    </row>
    <row r="57">
      <c r="A57" s="7" t="inlineStr">
        <is>
          <t>ETEC-FILE-056</t>
        </is>
      </c>
      <c r="B57" s="7" t="inlineStr">
        <is>
          <t>DEL-EVI-001</t>
        </is>
      </c>
      <c r="C57" s="7" t="inlineStr">
        <is>
          <t>EVI-01</t>
        </is>
      </c>
      <c r="D57" s="9" t="inlineStr">
        <is>
          <t>05 شواهد/01 إنجاز خطة تطوير القدرات والمهارات/م. عبدالإله محمد المعجل.pdf</t>
        </is>
      </c>
      <c r="E57" s="9" t="inlineStr">
        <is>
          <t>م. عبدالإله محمد المعجل</t>
        </is>
      </c>
      <c r="F57" s="7" t="inlineStr">
        <is>
          <t>training-certificate</t>
        </is>
      </c>
    </row>
    <row r="58">
      <c r="A58" s="7" t="inlineStr">
        <is>
          <t>ETEC-FILE-057</t>
        </is>
      </c>
      <c r="B58" s="7" t="inlineStr">
        <is>
          <t>DEL-EVI-001</t>
        </is>
      </c>
      <c r="C58" s="7" t="inlineStr">
        <is>
          <t>EVI-01</t>
        </is>
      </c>
      <c r="D58" s="9" t="inlineStr">
        <is>
          <t>05 شواهد/01 إنجاز خطة تطوير القدرات والمهارات/م. محمد مذكر الشهراني.pdf</t>
        </is>
      </c>
      <c r="E58" s="9" t="inlineStr">
        <is>
          <t>م. محمد مذكر الشهراني</t>
        </is>
      </c>
      <c r="F58" s="7" t="inlineStr">
        <is>
          <t>training-certificate</t>
        </is>
      </c>
    </row>
    <row r="59">
      <c r="A59" s="7" t="inlineStr">
        <is>
          <t>ETEC-FILE-058</t>
        </is>
      </c>
      <c r="B59" s="7" t="inlineStr">
        <is>
          <t>DEL-EVI-001</t>
        </is>
      </c>
      <c r="C59" s="7" t="inlineStr">
        <is>
          <t>EVI-01</t>
        </is>
      </c>
      <c r="D59" s="9" t="inlineStr">
        <is>
          <t>05 شواهد/01 إنجاز خطة تطوير القدرات والمهارات/م. محمد مضحي الشمري.pdf</t>
        </is>
      </c>
      <c r="E59" s="9" t="inlineStr">
        <is>
          <t>م. محمد مضحي الشمري</t>
        </is>
      </c>
      <c r="F59" s="7" t="inlineStr">
        <is>
          <t>training-certificate</t>
        </is>
      </c>
    </row>
    <row r="60">
      <c r="A60" s="7" t="inlineStr">
        <is>
          <t>ETEC-FILE-059</t>
        </is>
      </c>
      <c r="B60" s="7" t="inlineStr">
        <is>
          <t>DEL-EVI-001</t>
        </is>
      </c>
      <c r="C60" s="7" t="inlineStr">
        <is>
          <t>EVI-01</t>
        </is>
      </c>
      <c r="D60" s="9" t="inlineStr">
        <is>
          <t>05 شواهد/01 إنجاز خطة تطوير القدرات والمهارات/م. ميمونه نقاء الحربي.pdf</t>
        </is>
      </c>
      <c r="E60" s="9" t="inlineStr">
        <is>
          <t>م. ميمونه نقاء الحربي</t>
        </is>
      </c>
      <c r="F60" s="7" t="inlineStr">
        <is>
          <t>training-certificate</t>
        </is>
      </c>
    </row>
    <row r="61">
      <c r="A61" s="7" t="inlineStr">
        <is>
          <t>ETEC-FILE-060</t>
        </is>
      </c>
      <c r="B61" s="7" t="inlineStr">
        <is>
          <t>DEL-EVI-001</t>
        </is>
      </c>
      <c r="C61" s="7" t="inlineStr">
        <is>
          <t>EVI-01</t>
        </is>
      </c>
      <c r="D61" s="9" t="inlineStr">
        <is>
          <t>05 شواهد/01 إنجاز خطة تطوير القدرات والمهارات/م. نايف عبدالعزيز الشايع.pdf</t>
        </is>
      </c>
      <c r="E61" s="9" t="inlineStr">
        <is>
          <t>م. نايف عبدالعزيز الشايع</t>
        </is>
      </c>
      <c r="F61" s="7" t="inlineStr">
        <is>
          <t>training-certificate</t>
        </is>
      </c>
    </row>
    <row r="62">
      <c r="A62" s="7" t="inlineStr">
        <is>
          <t>ETEC-FILE-061</t>
        </is>
      </c>
      <c r="B62" s="7" t="inlineStr">
        <is>
          <t>DEL-EVI-002</t>
        </is>
      </c>
      <c r="C62" s="7" t="inlineStr">
        <is>
          <t>EVI-02</t>
        </is>
      </c>
      <c r="D62" s="9" t="inlineStr">
        <is>
          <t>05 شواهد/02 إنجاز خطة تعزيز الوعي/استبيانات قياس الأثر/اجابات الاستبيان القبلي من الموظفين.csv</t>
        </is>
      </c>
      <c r="E62" s="9" t="inlineStr">
        <is>
          <t>اجابات الاستبيان القبلي من الموظفين</t>
        </is>
      </c>
      <c r="F62" s="7" t="inlineStr">
        <is>
          <t>awareness-survey</t>
        </is>
      </c>
    </row>
    <row r="63">
      <c r="A63" s="7" t="inlineStr">
        <is>
          <t>ETEC-FILE-062</t>
        </is>
      </c>
      <c r="B63" s="7" t="inlineStr">
        <is>
          <t>DEL-EVI-002</t>
        </is>
      </c>
      <c r="C63" s="7" t="inlineStr">
        <is>
          <t>EVI-02</t>
        </is>
      </c>
      <c r="D63" s="9" t="inlineStr">
        <is>
          <t>05 شواهد/02 إنجاز خطة تعزيز الوعي/استبيانات قياس الأثر/استبيان تقييم المعرفة والاستعداد لورشة عمل البنية المؤسسية- الاستجابات.csv</t>
        </is>
      </c>
      <c r="E63" s="9" t="inlineStr">
        <is>
          <t>استبيان تقييم المعرفة والاستعداد لورشة عمل البنية المؤسسية- الاستجابات</t>
        </is>
      </c>
      <c r="F63" s="7" t="inlineStr">
        <is>
          <t>awareness-survey</t>
        </is>
      </c>
    </row>
    <row r="64">
      <c r="A64" s="7" t="inlineStr">
        <is>
          <t>ETEC-FILE-063</t>
        </is>
      </c>
      <c r="B64" s="7" t="inlineStr">
        <is>
          <t>DEL-EVI-002</t>
        </is>
      </c>
      <c r="C64" s="7" t="inlineStr">
        <is>
          <t>EVI-02</t>
        </is>
      </c>
      <c r="D64" s="9" t="inlineStr">
        <is>
          <t>05 شواهد/02 إنجاز خطة تعزيز الوعي/استبيانات قياس الأثر/استبيان قياس الأثر ولانطباعات لورشة عمل البنية المؤسسية- الاستجابات.csv</t>
        </is>
      </c>
      <c r="E64" s="9" t="inlineStr">
        <is>
          <t>استبيان قياس الأثر ولانطباعات لورشة عمل البنية المؤسسية- الاستجابات</t>
        </is>
      </c>
      <c r="F64" s="7" t="inlineStr">
        <is>
          <t>awareness-survey</t>
        </is>
      </c>
    </row>
    <row r="65">
      <c r="A65" s="7" t="inlineStr">
        <is>
          <t>ETEC-FILE-064</t>
        </is>
      </c>
      <c r="B65" s="7" t="inlineStr">
        <is>
          <t>DEL-EVI-002</t>
        </is>
      </c>
      <c r="C65" s="7" t="inlineStr">
        <is>
          <t>EVI-02</t>
        </is>
      </c>
      <c r="D65" s="9" t="inlineStr">
        <is>
          <t>05 شواهد/02 إنجاز خطة تعزيز الوعي/الفيديوهات التوعوية/Enterprise Architecture 1.mp4</t>
        </is>
      </c>
      <c r="E65" s="9" t="inlineStr">
        <is>
          <t>Enterprise Architecture 1</t>
        </is>
      </c>
      <c r="F65" s="7" t="inlineStr">
        <is>
          <t>awareness-video</t>
        </is>
      </c>
    </row>
    <row r="66">
      <c r="A66" s="7" t="inlineStr">
        <is>
          <t>ETEC-FILE-065</t>
        </is>
      </c>
      <c r="B66" s="7" t="inlineStr">
        <is>
          <t>DEL-EVI-002</t>
        </is>
      </c>
      <c r="C66" s="7" t="inlineStr">
        <is>
          <t>EVI-02</t>
        </is>
      </c>
      <c r="D66" s="9" t="inlineStr">
        <is>
          <t>05 شواهد/02 إنجاز خطة تعزيز الوعي/الفيديوهات التوعوية/Video Project 1.mp4</t>
        </is>
      </c>
      <c r="E66" s="9" t="inlineStr">
        <is>
          <t>Video Project 1</t>
        </is>
      </c>
      <c r="F66" s="7" t="inlineStr">
        <is>
          <t>awareness-video</t>
        </is>
      </c>
    </row>
    <row r="67">
      <c r="A67" s="7" t="inlineStr">
        <is>
          <t>ETEC-FILE-066</t>
        </is>
      </c>
      <c r="B67" s="7" t="inlineStr">
        <is>
          <t>DEL-EVI-002</t>
        </is>
      </c>
      <c r="C67" s="7" t="inlineStr">
        <is>
          <t>EVI-02</t>
        </is>
      </c>
      <c r="D67" s="9" t="inlineStr">
        <is>
          <t>05 شواهد/02 إنجاز خطة تعزيز الوعي/النشرات التوعوية/ETEC-2-البنية المؤسسية-01.jpg</t>
        </is>
      </c>
      <c r="E67" s="9" t="inlineStr">
        <is>
          <t>ETEC-2-البنية المؤسسية-01</t>
        </is>
      </c>
      <c r="F67" s="7" t="inlineStr">
        <is>
          <t>awareness-flyer</t>
        </is>
      </c>
    </row>
    <row r="68">
      <c r="A68" s="7" t="inlineStr">
        <is>
          <t>ETEC-FILE-067</t>
        </is>
      </c>
      <c r="B68" s="7" t="inlineStr">
        <is>
          <t>DEL-EVI-002</t>
        </is>
      </c>
      <c r="C68" s="7" t="inlineStr">
        <is>
          <t>EVI-02</t>
        </is>
      </c>
      <c r="D68" s="9" t="inlineStr">
        <is>
          <t>05 شواهد/02 إنجاز خطة تعزيز الوعي/النشرات التوعوية/ETEC-2-البنية المؤسسية-02.jpg</t>
        </is>
      </c>
      <c r="E68" s="9" t="inlineStr">
        <is>
          <t>ETEC-2-البنية المؤسسية-02</t>
        </is>
      </c>
      <c r="F68" s="7" t="inlineStr">
        <is>
          <t>awareness-flyer</t>
        </is>
      </c>
    </row>
    <row r="69">
      <c r="A69" s="7" t="inlineStr">
        <is>
          <t>ETEC-FILE-068</t>
        </is>
      </c>
      <c r="B69" s="7" t="inlineStr">
        <is>
          <t>DEL-EVI-002</t>
        </is>
      </c>
      <c r="C69" s="7" t="inlineStr">
        <is>
          <t>EVI-02</t>
        </is>
      </c>
      <c r="D69" s="9" t="inlineStr">
        <is>
          <t>05 شواهد/02 إنجاز خطة تعزيز الوعي/النشرات التوعوية/ETEC-2-البنية المؤسسية-03.jpg</t>
        </is>
      </c>
      <c r="E69" s="9" t="inlineStr">
        <is>
          <t>ETEC-2-البنية المؤسسية-03</t>
        </is>
      </c>
      <c r="F69" s="7" t="inlineStr">
        <is>
          <t>awareness-flyer</t>
        </is>
      </c>
    </row>
    <row r="70">
      <c r="A70" s="7" t="inlineStr">
        <is>
          <t>ETEC-FILE-069</t>
        </is>
      </c>
      <c r="B70" s="7" t="inlineStr">
        <is>
          <t>DEL-EVI-002</t>
        </is>
      </c>
      <c r="C70" s="7" t="inlineStr">
        <is>
          <t>EVI-02</t>
        </is>
      </c>
      <c r="D70" s="9" t="inlineStr">
        <is>
          <t>05 شواهد/02 إنجاز خطة تعزيز الوعي/النشرات التوعوية/ETEC-2-البنية المؤسسية-04.jpg</t>
        </is>
      </c>
      <c r="E70" s="9" t="inlineStr">
        <is>
          <t>ETEC-2-البنية المؤسسية-04</t>
        </is>
      </c>
      <c r="F70" s="7" t="inlineStr">
        <is>
          <t>awareness-flyer</t>
        </is>
      </c>
    </row>
    <row r="71">
      <c r="A71" s="7" t="inlineStr">
        <is>
          <t>ETEC-FILE-070</t>
        </is>
      </c>
      <c r="B71" s="7" t="inlineStr">
        <is>
          <t>DEL-EVI-002</t>
        </is>
      </c>
      <c r="C71" s="7" t="inlineStr">
        <is>
          <t>EVI-02</t>
        </is>
      </c>
      <c r="D71" s="9" t="inlineStr">
        <is>
          <t>05 شواهد/02 إنجاز خطة تعزيز الوعي/النشرات التوعوية/ETEC-2-البنية المؤسسية-05.jpg</t>
        </is>
      </c>
      <c r="E71" s="9" t="inlineStr">
        <is>
          <t>ETEC-2-البنية المؤسسية-05</t>
        </is>
      </c>
      <c r="F71" s="7" t="inlineStr">
        <is>
          <t>awareness-flyer</t>
        </is>
      </c>
    </row>
    <row r="72">
      <c r="A72" s="7" t="inlineStr">
        <is>
          <t>ETEC-FILE-071</t>
        </is>
      </c>
      <c r="B72" s="7" t="inlineStr">
        <is>
          <t>DEL-EVI-002</t>
        </is>
      </c>
      <c r="C72" s="7" t="inlineStr">
        <is>
          <t>EVI-02</t>
        </is>
      </c>
      <c r="D72" s="9" t="inlineStr">
        <is>
          <t>05 شواهد/02 إنجاز خطة تعزيز الوعي/النشرات التوعوية/ETEC-2-البنية المؤسسية-06.jpg</t>
        </is>
      </c>
      <c r="E72" s="9" t="inlineStr">
        <is>
          <t>ETEC-2-البنية المؤسسية-06</t>
        </is>
      </c>
      <c r="F72" s="7" t="inlineStr">
        <is>
          <t>awareness-flyer</t>
        </is>
      </c>
    </row>
    <row r="73">
      <c r="A73" s="7" t="inlineStr">
        <is>
          <t>ETEC-FILE-072</t>
        </is>
      </c>
      <c r="B73" s="7" t="inlineStr">
        <is>
          <t>DEL-EVI-002</t>
        </is>
      </c>
      <c r="C73" s="7" t="inlineStr">
        <is>
          <t>EVI-02</t>
        </is>
      </c>
      <c r="D73" s="9" t="inlineStr">
        <is>
          <t>05 شواهد/02 إنجاز خطة تعزيز الوعي/النشرات التوعوية/ETEC-2-البنية المؤسسية-07.jpg</t>
        </is>
      </c>
      <c r="E73" s="9" t="inlineStr">
        <is>
          <t>ETEC-2-البنية المؤسسية-07</t>
        </is>
      </c>
      <c r="F73" s="7" t="inlineStr">
        <is>
          <t>awareness-flyer</t>
        </is>
      </c>
    </row>
    <row r="74">
      <c r="A74" s="7" t="inlineStr">
        <is>
          <t>ETEC-FILE-073</t>
        </is>
      </c>
      <c r="B74" s="7" t="inlineStr">
        <is>
          <t>DEL-EVI-002</t>
        </is>
      </c>
      <c r="C74" s="7" t="inlineStr">
        <is>
          <t>EVI-02</t>
        </is>
      </c>
      <c r="D74" s="9" t="inlineStr">
        <is>
          <t>05 شواهد/02 إنجاز خطة تعزيز الوعي/النشرات التوعوية/ETEC-2-البنية المؤسسية-08.jpg</t>
        </is>
      </c>
      <c r="E74" s="9" t="inlineStr">
        <is>
          <t>ETEC-2-البنية المؤسسية-08</t>
        </is>
      </c>
      <c r="F74" s="7" t="inlineStr">
        <is>
          <t>awareness-flyer</t>
        </is>
      </c>
    </row>
    <row r="75">
      <c r="A75" s="7" t="inlineStr">
        <is>
          <t>ETEC-FILE-074</t>
        </is>
      </c>
      <c r="B75" s="7" t="inlineStr">
        <is>
          <t>DEL-EVI-002</t>
        </is>
      </c>
      <c r="C75" s="7" t="inlineStr">
        <is>
          <t>EVI-02</t>
        </is>
      </c>
      <c r="D75" s="9" t="inlineStr">
        <is>
          <t>05 شواهد/02 إنجاز خطة تعزيز الوعي/النشرات التوعوية/ETEC-2-البنية المؤسسية-09.jpg</t>
        </is>
      </c>
      <c r="E75" s="9" t="inlineStr">
        <is>
          <t>ETEC-2-البنية المؤسسية-09</t>
        </is>
      </c>
      <c r="F75" s="7" t="inlineStr">
        <is>
          <t>awareness-flyer</t>
        </is>
      </c>
    </row>
    <row r="76">
      <c r="A76" s="7" t="inlineStr">
        <is>
          <t>ETEC-FILE-075</t>
        </is>
      </c>
      <c r="B76" s="7" t="inlineStr">
        <is>
          <t>DEL-EVI-002</t>
        </is>
      </c>
      <c r="C76" s="7" t="inlineStr">
        <is>
          <t>EVI-02</t>
        </is>
      </c>
      <c r="D76" s="9" t="inlineStr">
        <is>
          <t>05 شواهد/02 إنجاز خطة تعزيز الوعي/النشرات التوعوية/ETEC-3-البنية المؤسسية-01.jpg</t>
        </is>
      </c>
      <c r="E76" s="9" t="inlineStr">
        <is>
          <t>ETEC-3-البنية المؤسسية-01</t>
        </is>
      </c>
      <c r="F76" s="7" t="inlineStr">
        <is>
          <t>awareness-flyer</t>
        </is>
      </c>
    </row>
    <row r="77">
      <c r="A77" s="7" t="inlineStr">
        <is>
          <t>ETEC-FILE-076</t>
        </is>
      </c>
      <c r="B77" s="7" t="inlineStr">
        <is>
          <t>DEL-EVI-002</t>
        </is>
      </c>
      <c r="C77" s="7" t="inlineStr">
        <is>
          <t>EVI-02</t>
        </is>
      </c>
      <c r="D77" s="9" t="inlineStr">
        <is>
          <t>05 شواهد/02 إنجاز خطة تعزيز الوعي/النشرات التوعوية/ETEC-3-البنية المؤسسية-02.jpg</t>
        </is>
      </c>
      <c r="E77" s="9" t="inlineStr">
        <is>
          <t>ETEC-3-البنية المؤسسية-02</t>
        </is>
      </c>
      <c r="F77" s="7" t="inlineStr">
        <is>
          <t>awareness-flyer</t>
        </is>
      </c>
    </row>
    <row r="78">
      <c r="A78" s="7" t="inlineStr">
        <is>
          <t>ETEC-FILE-077</t>
        </is>
      </c>
      <c r="B78" s="7" t="inlineStr">
        <is>
          <t>DEL-EVI-002</t>
        </is>
      </c>
      <c r="C78" s="7" t="inlineStr">
        <is>
          <t>EVI-02</t>
        </is>
      </c>
      <c r="D78" s="9" t="inlineStr">
        <is>
          <t>05 شواهد/02 إنجاز خطة تعزيز الوعي/النشرات التوعوية/ETEC-3-البنية المؤسسية-04.jpg</t>
        </is>
      </c>
      <c r="E78" s="9" t="inlineStr">
        <is>
          <t>ETEC-3-البنية المؤسسية-04</t>
        </is>
      </c>
      <c r="F78" s="7" t="inlineStr">
        <is>
          <t>awareness-flyer</t>
        </is>
      </c>
    </row>
    <row r="79">
      <c r="A79" s="7" t="inlineStr">
        <is>
          <t>ETEC-FILE-078</t>
        </is>
      </c>
      <c r="B79" s="7" t="inlineStr">
        <is>
          <t>DEL-EVI-002</t>
        </is>
      </c>
      <c r="C79" s="7" t="inlineStr">
        <is>
          <t>EVI-02</t>
        </is>
      </c>
      <c r="D79" s="9" t="inlineStr">
        <is>
          <t>05 شواهد/02 إنجاز خطة تعزيز الوعي/ورش التعريف/ورشة التعريف بأساسيات ودور البنية المؤسسية - WS01 __ V0.2 - مارس 2025.pptx</t>
        </is>
      </c>
      <c r="E79" s="9" t="inlineStr">
        <is>
          <t>ورشة التعريف بأساسيات ودور البنية المؤسسية - WS01 __ V0.2 - مارس 2025</t>
        </is>
      </c>
      <c r="F79" s="7" t="inlineStr">
        <is>
          <t>awareness-workshop</t>
        </is>
      </c>
    </row>
    <row r="80">
      <c r="A80" s="7" t="inlineStr">
        <is>
          <t>ETEC-FILE-079</t>
        </is>
      </c>
      <c r="B80" s="7" t="inlineStr">
        <is>
          <t>DEL-EVI-002</t>
        </is>
      </c>
      <c r="C80" s="7" t="inlineStr">
        <is>
          <t>EVI-02</t>
        </is>
      </c>
      <c r="D80" s="9" t="inlineStr">
        <is>
          <t>05 شواهد/02 إنجاز خطة تعزيز الوعي/ورش التعريف/ورشة التعريف بأساسيات ودور البنية المؤسسية - WS01 __ V0.2.pdf</t>
        </is>
      </c>
      <c r="E80" s="9" t="inlineStr">
        <is>
          <t>ورشة التعريف بأساسيات ودور البنية المؤسسية - WS01 __ V0.2</t>
        </is>
      </c>
      <c r="F80" s="7" t="inlineStr">
        <is>
          <t>awareness-workshop</t>
        </is>
      </c>
    </row>
    <row r="81">
      <c r="A81" s="7" t="inlineStr">
        <is>
          <t>ETEC-FILE-080</t>
        </is>
      </c>
      <c r="B81" s="7" t="inlineStr">
        <is>
          <t>DEL-EVI-002</t>
        </is>
      </c>
      <c r="C81" s="7" t="inlineStr">
        <is>
          <t>EVI-02</t>
        </is>
      </c>
      <c r="D81" s="9" t="inlineStr">
        <is>
          <t>05 شواهد/02 إنجاز خطة تعزيز الوعي/ورش التعريف/ورشة التعريف بأساسيات ودور البنية المؤسسية - WS01 __ V0.3.pptx</t>
        </is>
      </c>
      <c r="E81" s="9" t="inlineStr">
        <is>
          <t>ورشة التعريف بأساسيات ودور البنية المؤسسية - WS01 __ V0.3</t>
        </is>
      </c>
      <c r="F81" s="7" t="inlineStr">
        <is>
          <t>awareness-workshop</t>
        </is>
      </c>
    </row>
    <row r="84">
      <c r="A84" s="2" t="inlineStr">
        <is>
          <t>ℹ️ هذه الورقة تَعكس intake/files-index.json. عند تحديث intake، أَعِد تشغيل _build_xlsx_v2.py.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2026-05-02T18:55:55Z</dcterms:created>
  <dcterms:modified xmlns:dcterms="http://purl.org/dc/terms/" xmlns:xsi="http://www.w3.org/2001/XMLSchema-instance" xsi:type="dcterms:W3CDTF">2026-05-02T18:55:55Z</dcterms:modified>
</cp:coreProperties>
</file>