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enadalmajedgroup-my.sharepoint.com/personal/ali_h_rmg-sa_com/Documents/Documents/RMG/4 - Client - ETEC/سجل متطلبات/"/>
    </mc:Choice>
  </mc:AlternateContent>
  <xr:revisionPtr revIDLastSave="1" documentId="8_{00BADCBB-CF1D-4AC2-BF0C-6830ECB123F7}" xr6:coauthVersionLast="47" xr6:coauthVersionMax="47" xr10:uidLastSave="{4C341784-6C94-4C15-873E-6D5B1C70B412}"/>
  <bookViews>
    <workbookView xWindow="-108" yWindow="-108" windowWidth="23256" windowHeight="12456" activeTab="5" xr2:uid="{00000000-000D-0000-FFFF-FFFF00000000}"/>
  </bookViews>
  <sheets>
    <sheet name="Dashboard" sheetId="1" r:id="rId1"/>
    <sheet name="تعريف" sheetId="2" state="hidden" r:id="rId2"/>
    <sheet name="قوائم" sheetId="3" state="hidden" r:id="rId3"/>
    <sheet name="متابعة المشاريع" sheetId="4" r:id="rId4"/>
    <sheet name="متابعة المتطلبات" sheetId="5" r:id="rId5"/>
    <sheet name="الفجوات" sheetId="6" r:id="rId6"/>
    <sheet name="Link_Project_Req" sheetId="7" state="hidden" r:id="rId7"/>
    <sheet name="Link_Project_Gap" sheetId="8" state="hidden" r:id="rId8"/>
    <sheet name="Link_Gap_Req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9" l="1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F23" i="6" s="1"/>
  <c r="D99" i="8"/>
  <c r="C99" i="8"/>
  <c r="D98" i="8"/>
  <c r="C98" i="8"/>
  <c r="D97" i="8"/>
  <c r="C97" i="8"/>
  <c r="D96" i="8"/>
  <c r="C96" i="8"/>
  <c r="F11" i="6" s="1"/>
  <c r="D95" i="8"/>
  <c r="C95" i="8"/>
  <c r="D94" i="8"/>
  <c r="C94" i="8"/>
  <c r="F3" i="6" s="1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F19" i="6" s="1"/>
  <c r="D86" i="8"/>
  <c r="C86" i="8"/>
  <c r="F2" i="6" s="1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F22" i="6" s="1"/>
  <c r="D78" i="8"/>
  <c r="C78" i="8"/>
  <c r="F63" i="6" s="1"/>
  <c r="D77" i="8"/>
  <c r="C77" i="8"/>
  <c r="F43" i="6" s="1"/>
  <c r="D76" i="8"/>
  <c r="C76" i="8"/>
  <c r="F42" i="6" s="1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F6" i="6" s="1"/>
  <c r="D66" i="8"/>
  <c r="C66" i="8"/>
  <c r="F5" i="6" s="1"/>
  <c r="D65" i="8"/>
  <c r="C65" i="8"/>
  <c r="D64" i="8"/>
  <c r="C64" i="8"/>
  <c r="F67" i="6" s="1"/>
  <c r="D63" i="8"/>
  <c r="C63" i="8"/>
  <c r="D62" i="8"/>
  <c r="C62" i="8"/>
  <c r="D61" i="8"/>
  <c r="C61" i="8"/>
  <c r="D60" i="8"/>
  <c r="C60" i="8"/>
  <c r="D59" i="8"/>
  <c r="C59" i="8"/>
  <c r="D58" i="8"/>
  <c r="C58" i="8"/>
  <c r="F30" i="6" s="1"/>
  <c r="D57" i="8"/>
  <c r="C57" i="8"/>
  <c r="D56" i="8"/>
  <c r="C56" i="8"/>
  <c r="D55" i="8"/>
  <c r="C55" i="8"/>
  <c r="D54" i="8"/>
  <c r="C54" i="8"/>
  <c r="F7" i="6" s="1"/>
  <c r="D53" i="8"/>
  <c r="C53" i="8"/>
  <c r="D52" i="8"/>
  <c r="C52" i="8"/>
  <c r="D51" i="8"/>
  <c r="C51" i="8"/>
  <c r="D50" i="8"/>
  <c r="C50" i="8"/>
  <c r="D49" i="8"/>
  <c r="C49" i="8"/>
  <c r="D48" i="8"/>
  <c r="C48" i="8"/>
  <c r="F78" i="6" s="1"/>
  <c r="D47" i="8"/>
  <c r="C47" i="8"/>
  <c r="D46" i="8"/>
  <c r="C46" i="8"/>
  <c r="D45" i="8"/>
  <c r="C45" i="8"/>
  <c r="F86" i="6" s="1"/>
  <c r="D44" i="8"/>
  <c r="C44" i="8"/>
  <c r="F45" i="6" s="1"/>
  <c r="D43" i="8"/>
  <c r="C43" i="8"/>
  <c r="D42" i="8"/>
  <c r="C42" i="8"/>
  <c r="D41" i="8"/>
  <c r="C41" i="8"/>
  <c r="D40" i="8"/>
  <c r="C40" i="8"/>
  <c r="F21" i="6" s="1"/>
  <c r="D39" i="8"/>
  <c r="C39" i="8"/>
  <c r="D38" i="8"/>
  <c r="C38" i="8"/>
  <c r="D37" i="8"/>
  <c r="C37" i="8"/>
  <c r="D36" i="8"/>
  <c r="C36" i="8"/>
  <c r="F81" i="6" s="1"/>
  <c r="D12" i="1" s="1"/>
  <c r="D35" i="8"/>
  <c r="C35" i="8"/>
  <c r="F47" i="6" s="1"/>
  <c r="D11" i="1" s="1"/>
  <c r="D34" i="8"/>
  <c r="C34" i="8"/>
  <c r="F41" i="6" s="1"/>
  <c r="D10" i="1" s="1"/>
  <c r="D33" i="8"/>
  <c r="C33" i="8"/>
  <c r="D32" i="8"/>
  <c r="C32" i="8"/>
  <c r="D31" i="8"/>
  <c r="C31" i="8"/>
  <c r="D30" i="8"/>
  <c r="C30" i="8"/>
  <c r="D29" i="8"/>
  <c r="C29" i="8"/>
  <c r="D28" i="8"/>
  <c r="C28" i="8"/>
  <c r="F80" i="6" s="1"/>
  <c r="D27" i="8"/>
  <c r="C27" i="8"/>
  <c r="F60" i="6" s="1"/>
  <c r="D26" i="8"/>
  <c r="C26" i="8"/>
  <c r="F48" i="6" s="1"/>
  <c r="D25" i="8"/>
  <c r="C25" i="8"/>
  <c r="F38" i="6" s="1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F77" i="6" s="1"/>
  <c r="D17" i="8"/>
  <c r="C17" i="8"/>
  <c r="F44" i="6" s="1"/>
  <c r="D16" i="8"/>
  <c r="C16" i="8"/>
  <c r="F69" i="6" s="1"/>
  <c r="D15" i="8"/>
  <c r="C15" i="8"/>
  <c r="F87" i="6" s="1"/>
  <c r="D14" i="8"/>
  <c r="C14" i="8"/>
  <c r="F84" i="6" s="1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F18" i="6" s="1"/>
  <c r="D6" i="8"/>
  <c r="C6" i="8"/>
  <c r="F17" i="6" s="1"/>
  <c r="D5" i="8"/>
  <c r="C5" i="8"/>
  <c r="F15" i="6" s="1"/>
  <c r="D4" i="8"/>
  <c r="C4" i="8"/>
  <c r="F68" i="6" s="1"/>
  <c r="D3" i="8"/>
  <c r="C3" i="8"/>
  <c r="F46" i="6" s="1"/>
  <c r="D2" i="8"/>
  <c r="C2" i="8"/>
  <c r="E68" i="7"/>
  <c r="C68" i="7"/>
  <c r="E67" i="7"/>
  <c r="C67" i="7"/>
  <c r="E66" i="7"/>
  <c r="C66" i="7"/>
  <c r="E65" i="7"/>
  <c r="C65" i="7"/>
  <c r="K46" i="5" s="1"/>
  <c r="E64" i="7"/>
  <c r="C64" i="7"/>
  <c r="E63" i="7"/>
  <c r="C63" i="7"/>
  <c r="K38" i="5" s="1"/>
  <c r="D38" i="7" s="1"/>
  <c r="E62" i="7"/>
  <c r="C62" i="7"/>
  <c r="K32" i="5" s="1"/>
  <c r="L32" i="5" s="1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D55" i="7"/>
  <c r="C55" i="7"/>
  <c r="E54" i="7"/>
  <c r="C54" i="7"/>
  <c r="K13" i="5" s="1"/>
  <c r="C57" i="9" s="1"/>
  <c r="E53" i="7"/>
  <c r="C53" i="7"/>
  <c r="E52" i="7"/>
  <c r="C52" i="7"/>
  <c r="E51" i="7"/>
  <c r="C51" i="7"/>
  <c r="K47" i="5" s="1"/>
  <c r="E50" i="7"/>
  <c r="C50" i="7"/>
  <c r="E49" i="7"/>
  <c r="C49" i="7"/>
  <c r="E48" i="7"/>
  <c r="C48" i="7"/>
  <c r="E47" i="7"/>
  <c r="C47" i="7"/>
  <c r="E46" i="7"/>
  <c r="C46" i="7"/>
  <c r="K27" i="5" s="1"/>
  <c r="C59" i="9" s="1"/>
  <c r="E45" i="7"/>
  <c r="C45" i="7"/>
  <c r="E44" i="7"/>
  <c r="C44" i="7"/>
  <c r="K6" i="5" s="1"/>
  <c r="E43" i="7"/>
  <c r="C43" i="7"/>
  <c r="E42" i="7"/>
  <c r="C42" i="7"/>
  <c r="K40" i="5" s="1"/>
  <c r="E41" i="7"/>
  <c r="C41" i="7"/>
  <c r="K37" i="5" s="1"/>
  <c r="E40" i="7"/>
  <c r="C40" i="7"/>
  <c r="E39" i="7"/>
  <c r="C39" i="7"/>
  <c r="E38" i="7"/>
  <c r="C38" i="7"/>
  <c r="E37" i="7"/>
  <c r="C37" i="7"/>
  <c r="E36" i="7"/>
  <c r="C36" i="7"/>
  <c r="E35" i="7"/>
  <c r="C35" i="7"/>
  <c r="K21" i="5" s="1"/>
  <c r="D35" i="7" s="1"/>
  <c r="E34" i="7"/>
  <c r="C34" i="7"/>
  <c r="E33" i="7"/>
  <c r="C33" i="7"/>
  <c r="K2" i="5" s="1"/>
  <c r="C19" i="9" s="1"/>
  <c r="E32" i="7"/>
  <c r="C32" i="7"/>
  <c r="K42" i="5" s="1"/>
  <c r="D24" i="1" s="1"/>
  <c r="E31" i="7"/>
  <c r="C31" i="7"/>
  <c r="K18" i="5" s="1"/>
  <c r="E30" i="7"/>
  <c r="C30" i="7"/>
  <c r="E29" i="7"/>
  <c r="C29" i="7"/>
  <c r="E28" i="7"/>
  <c r="D28" i="7"/>
  <c r="C28" i="7"/>
  <c r="E27" i="7"/>
  <c r="C27" i="7"/>
  <c r="E26" i="7"/>
  <c r="C26" i="7"/>
  <c r="K36" i="5" s="1"/>
  <c r="E25" i="7"/>
  <c r="C25" i="7"/>
  <c r="K17" i="5" s="1"/>
  <c r="E24" i="7"/>
  <c r="C24" i="7"/>
  <c r="E23" i="7"/>
  <c r="C23" i="7"/>
  <c r="K10" i="5" s="1"/>
  <c r="E22" i="7"/>
  <c r="C22" i="7"/>
  <c r="K11" i="5" s="1"/>
  <c r="C71" i="9" s="1"/>
  <c r="E21" i="7"/>
  <c r="C21" i="7"/>
  <c r="K29" i="5" s="1"/>
  <c r="L29" i="5" s="1"/>
  <c r="E20" i="7"/>
  <c r="C20" i="7"/>
  <c r="K30" i="5" s="1"/>
  <c r="E19" i="7"/>
  <c r="C19" i="7"/>
  <c r="E18" i="7"/>
  <c r="C18" i="7"/>
  <c r="E17" i="7"/>
  <c r="C17" i="7"/>
  <c r="E16" i="7"/>
  <c r="C16" i="7"/>
  <c r="E15" i="7"/>
  <c r="C15" i="7"/>
  <c r="K23" i="5" s="1"/>
  <c r="D15" i="7" s="1"/>
  <c r="E14" i="7"/>
  <c r="C14" i="7"/>
  <c r="K22" i="5" s="1"/>
  <c r="C18" i="9" s="1"/>
  <c r="E13" i="7"/>
  <c r="C13" i="7"/>
  <c r="E12" i="7"/>
  <c r="C12" i="7"/>
  <c r="K16" i="5" s="1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K45" i="5" s="1"/>
  <c r="L45" i="5" s="1"/>
  <c r="E4" i="7"/>
  <c r="C4" i="7"/>
  <c r="E3" i="7"/>
  <c r="C3" i="7"/>
  <c r="K4" i="5" s="1"/>
  <c r="L4" i="5" s="1"/>
  <c r="E2" i="7"/>
  <c r="C2" i="7"/>
  <c r="K24" i="5" s="1"/>
  <c r="C53" i="9" s="1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G86" i="6"/>
  <c r="G85" i="6"/>
  <c r="F85" i="6"/>
  <c r="G84" i="6"/>
  <c r="G83" i="6"/>
  <c r="F83" i="6"/>
  <c r="G82" i="6"/>
  <c r="F82" i="6"/>
  <c r="G81" i="6"/>
  <c r="G80" i="6"/>
  <c r="G79" i="6"/>
  <c r="F79" i="6"/>
  <c r="G78" i="6"/>
  <c r="G77" i="6"/>
  <c r="G76" i="6"/>
  <c r="F76" i="6"/>
  <c r="G75" i="6"/>
  <c r="F75" i="6"/>
  <c r="G74" i="6"/>
  <c r="F74" i="6"/>
  <c r="G73" i="6"/>
  <c r="F73" i="6"/>
  <c r="D17" i="1" s="1"/>
  <c r="G72" i="6"/>
  <c r="F72" i="6"/>
  <c r="D16" i="1" s="1"/>
  <c r="G71" i="6"/>
  <c r="F71" i="6"/>
  <c r="D15" i="1" s="1"/>
  <c r="G70" i="6"/>
  <c r="G69" i="6"/>
  <c r="G68" i="6"/>
  <c r="G67" i="6"/>
  <c r="G66" i="6"/>
  <c r="F66" i="6"/>
  <c r="D14" i="1" s="1"/>
  <c r="G65" i="6"/>
  <c r="F65" i="6"/>
  <c r="D13" i="1" s="1"/>
  <c r="G64" i="6"/>
  <c r="F64" i="6"/>
  <c r="D8" i="1" s="1"/>
  <c r="G63" i="6"/>
  <c r="G62" i="6"/>
  <c r="F62" i="6"/>
  <c r="G61" i="6"/>
  <c r="F61" i="6"/>
  <c r="G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G47" i="6"/>
  <c r="G46" i="6"/>
  <c r="G45" i="6"/>
  <c r="G44" i="6"/>
  <c r="G43" i="6"/>
  <c r="G42" i="6"/>
  <c r="G41" i="6"/>
  <c r="G40" i="6"/>
  <c r="F40" i="6"/>
  <c r="G39" i="6"/>
  <c r="F39" i="6"/>
  <c r="D9" i="1" s="1"/>
  <c r="G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G22" i="6"/>
  <c r="G21" i="6"/>
  <c r="G20" i="6"/>
  <c r="F20" i="6"/>
  <c r="G19" i="6"/>
  <c r="G18" i="6"/>
  <c r="G17" i="6"/>
  <c r="G16" i="6"/>
  <c r="F16" i="6"/>
  <c r="G15" i="6"/>
  <c r="G14" i="6"/>
  <c r="F14" i="6"/>
  <c r="G13" i="6"/>
  <c r="F13" i="6"/>
  <c r="G12" i="6"/>
  <c r="F12" i="6"/>
  <c r="G11" i="6"/>
  <c r="G10" i="6"/>
  <c r="F10" i="6"/>
  <c r="G9" i="6"/>
  <c r="F9" i="6"/>
  <c r="G8" i="6"/>
  <c r="F8" i="6"/>
  <c r="G7" i="6"/>
  <c r="G6" i="6"/>
  <c r="G5" i="6"/>
  <c r="G4" i="6"/>
  <c r="F4" i="6"/>
  <c r="G3" i="6"/>
  <c r="G2" i="6"/>
  <c r="K44" i="5"/>
  <c r="D48" i="7" s="1"/>
  <c r="K43" i="5"/>
  <c r="C58" i="9" s="1"/>
  <c r="K39" i="5"/>
  <c r="L39" i="5" s="1"/>
  <c r="K35" i="5"/>
  <c r="L35" i="5" s="1"/>
  <c r="K34" i="5"/>
  <c r="C13" i="9" s="1"/>
  <c r="K33" i="5"/>
  <c r="L33" i="5" s="1"/>
  <c r="K28" i="5"/>
  <c r="D60" i="7" s="1"/>
  <c r="K26" i="5"/>
  <c r="C33" i="9" s="1"/>
  <c r="K25" i="5"/>
  <c r="C39" i="9" s="1"/>
  <c r="K14" i="5"/>
  <c r="C77" i="9" s="1"/>
  <c r="K12" i="5"/>
  <c r="C56" i="9" s="1"/>
  <c r="K9" i="5"/>
  <c r="L9" i="5" s="1"/>
  <c r="K8" i="5"/>
  <c r="C69" i="9" s="1"/>
  <c r="K7" i="5"/>
  <c r="C72" i="9" s="1"/>
  <c r="M1003" i="4"/>
  <c r="L1003" i="4"/>
  <c r="K1003" i="4"/>
  <c r="M1002" i="4"/>
  <c r="L1002" i="4"/>
  <c r="K1002" i="4"/>
  <c r="M1001" i="4"/>
  <c r="L1001" i="4"/>
  <c r="K1001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E39" i="1" s="1"/>
  <c r="K48" i="4"/>
  <c r="F39" i="1" s="1"/>
  <c r="M47" i="4"/>
  <c r="L47" i="4"/>
  <c r="K47" i="4"/>
  <c r="F35" i="1" s="1"/>
  <c r="M46" i="4"/>
  <c r="L46" i="4"/>
  <c r="K46" i="4"/>
  <c r="M45" i="4"/>
  <c r="L45" i="4"/>
  <c r="K45" i="4"/>
  <c r="M44" i="4"/>
  <c r="L44" i="4"/>
  <c r="K44" i="4"/>
  <c r="M43" i="4"/>
  <c r="L43" i="4"/>
  <c r="E36" i="1" s="1"/>
  <c r="K43" i="4"/>
  <c r="F36" i="1" s="1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E48" i="1" s="1"/>
  <c r="K34" i="4"/>
  <c r="M33" i="4"/>
  <c r="L33" i="4"/>
  <c r="K33" i="4"/>
  <c r="M32" i="4"/>
  <c r="L32" i="4"/>
  <c r="E38" i="1" s="1"/>
  <c r="K32" i="4"/>
  <c r="M31" i="4"/>
  <c r="L31" i="4"/>
  <c r="K31" i="4"/>
  <c r="F44" i="1" s="1"/>
  <c r="M30" i="4"/>
  <c r="L30" i="4"/>
  <c r="K30" i="4"/>
  <c r="F40" i="1" s="1"/>
  <c r="M29" i="4"/>
  <c r="L29" i="4"/>
  <c r="E43" i="1" s="1"/>
  <c r="G43" i="1" s="1"/>
  <c r="K29" i="4"/>
  <c r="M28" i="4"/>
  <c r="L28" i="4"/>
  <c r="K28" i="4"/>
  <c r="F42" i="1" s="1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F47" i="1" s="1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F37" i="1" s="1"/>
  <c r="M2" i="4"/>
  <c r="L2" i="4"/>
  <c r="K2" i="4"/>
  <c r="I48" i="1"/>
  <c r="H48" i="1"/>
  <c r="F48" i="1"/>
  <c r="D48" i="1"/>
  <c r="C48" i="1"/>
  <c r="I47" i="1"/>
  <c r="H47" i="1"/>
  <c r="E47" i="1"/>
  <c r="D47" i="1"/>
  <c r="C47" i="1"/>
  <c r="I46" i="1"/>
  <c r="H46" i="1"/>
  <c r="F46" i="1"/>
  <c r="E46" i="1"/>
  <c r="G46" i="1" s="1"/>
  <c r="D46" i="1"/>
  <c r="C46" i="1"/>
  <c r="I45" i="1"/>
  <c r="H45" i="1"/>
  <c r="F45" i="1"/>
  <c r="E45" i="1"/>
  <c r="D45" i="1"/>
  <c r="C45" i="1"/>
  <c r="I44" i="1"/>
  <c r="H44" i="1"/>
  <c r="E44" i="1"/>
  <c r="D44" i="1"/>
  <c r="C44" i="1"/>
  <c r="I43" i="1"/>
  <c r="H43" i="1"/>
  <c r="F43" i="1"/>
  <c r="D43" i="1"/>
  <c r="C43" i="1"/>
  <c r="I42" i="1"/>
  <c r="H42" i="1"/>
  <c r="E42" i="1"/>
  <c r="D42" i="1"/>
  <c r="C42" i="1"/>
  <c r="I41" i="1"/>
  <c r="H41" i="1"/>
  <c r="F41" i="1"/>
  <c r="E41" i="1"/>
  <c r="G41" i="1" s="1"/>
  <c r="D41" i="1"/>
  <c r="C41" i="1"/>
  <c r="I40" i="1"/>
  <c r="H40" i="1"/>
  <c r="E40" i="1"/>
  <c r="D40" i="1"/>
  <c r="C40" i="1"/>
  <c r="I39" i="1"/>
  <c r="H39" i="1"/>
  <c r="D39" i="1"/>
  <c r="C39" i="1"/>
  <c r="I38" i="1"/>
  <c r="H38" i="1"/>
  <c r="F38" i="1"/>
  <c r="D38" i="1"/>
  <c r="C38" i="1"/>
  <c r="I37" i="1"/>
  <c r="H37" i="1"/>
  <c r="E37" i="1"/>
  <c r="D37" i="1"/>
  <c r="C37" i="1"/>
  <c r="I36" i="1"/>
  <c r="H36" i="1"/>
  <c r="D36" i="1"/>
  <c r="C36" i="1"/>
  <c r="I35" i="1"/>
  <c r="H35" i="1"/>
  <c r="E35" i="1"/>
  <c r="D35" i="1"/>
  <c r="C35" i="1"/>
  <c r="I34" i="1"/>
  <c r="H34" i="1"/>
  <c r="F34" i="1"/>
  <c r="E34" i="1"/>
  <c r="D34" i="1"/>
  <c r="C34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E8" i="1"/>
  <c r="C4" i="1"/>
  <c r="A4" i="1"/>
  <c r="G36" i="1" l="1"/>
  <c r="K15" i="5"/>
  <c r="D67" i="7" s="1"/>
  <c r="F70" i="6"/>
  <c r="G44" i="1"/>
  <c r="G48" i="1"/>
  <c r="L7" i="5"/>
  <c r="G38" i="1"/>
  <c r="K19" i="5"/>
  <c r="L19" i="5" s="1"/>
  <c r="G42" i="1"/>
  <c r="K20" i="5"/>
  <c r="K3" i="5"/>
  <c r="L3" i="5" s="1"/>
  <c r="K41" i="5"/>
  <c r="C38" i="9" s="1"/>
  <c r="G37" i="1"/>
  <c r="G45" i="1"/>
  <c r="K31" i="5"/>
  <c r="D61" i="7" s="1"/>
  <c r="K5" i="5"/>
  <c r="D53" i="7" s="1"/>
  <c r="D51" i="7"/>
  <c r="L47" i="5"/>
  <c r="C51" i="9"/>
  <c r="L16" i="5"/>
  <c r="C6" i="9"/>
  <c r="L6" i="5"/>
  <c r="C14" i="9"/>
  <c r="L46" i="5"/>
  <c r="C36" i="9"/>
  <c r="D29" i="1"/>
  <c r="L36" i="5"/>
  <c r="C31" i="9"/>
  <c r="D28" i="1"/>
  <c r="L17" i="5"/>
  <c r="D41" i="7"/>
  <c r="L37" i="5"/>
  <c r="G4" i="1"/>
  <c r="C16" i="9"/>
  <c r="L20" i="5"/>
  <c r="C54" i="9"/>
  <c r="L10" i="5"/>
  <c r="D27" i="1"/>
  <c r="C37" i="9"/>
  <c r="L40" i="5"/>
  <c r="C79" i="9"/>
  <c r="L18" i="5"/>
  <c r="D20" i="7"/>
  <c r="L30" i="5"/>
  <c r="L8" i="5"/>
  <c r="L26" i="5"/>
  <c r="L28" i="5"/>
  <c r="G34" i="1"/>
  <c r="G40" i="1"/>
  <c r="D23" i="1"/>
  <c r="G35" i="1"/>
  <c r="L38" i="5"/>
  <c r="G39" i="1"/>
  <c r="L27" i="5"/>
  <c r="G47" i="1"/>
  <c r="D2" i="7"/>
  <c r="D22" i="7"/>
  <c r="D42" i="7"/>
  <c r="D62" i="7"/>
  <c r="C20" i="9"/>
  <c r="C40" i="9"/>
  <c r="C60" i="9"/>
  <c r="D9" i="7"/>
  <c r="D29" i="7"/>
  <c r="D49" i="7"/>
  <c r="C21" i="9"/>
  <c r="C41" i="9"/>
  <c r="C61" i="9"/>
  <c r="D16" i="7"/>
  <c r="D36" i="7"/>
  <c r="D56" i="7"/>
  <c r="C22" i="9"/>
  <c r="C62" i="9"/>
  <c r="D3" i="7"/>
  <c r="D23" i="7"/>
  <c r="D43" i="7"/>
  <c r="D63" i="7"/>
  <c r="C3" i="9"/>
  <c r="C23" i="9"/>
  <c r="C43" i="9"/>
  <c r="L11" i="5"/>
  <c r="L21" i="5"/>
  <c r="D21" i="1"/>
  <c r="D25" i="1"/>
  <c r="L2" i="5"/>
  <c r="L12" i="5"/>
  <c r="L22" i="5"/>
  <c r="L42" i="5"/>
  <c r="D10" i="7"/>
  <c r="D30" i="7"/>
  <c r="D50" i="7"/>
  <c r="C4" i="9"/>
  <c r="C24" i="9"/>
  <c r="C44" i="9"/>
  <c r="C64" i="9"/>
  <c r="D17" i="7"/>
  <c r="D57" i="7"/>
  <c r="C5" i="9"/>
  <c r="C25" i="9"/>
  <c r="C45" i="9"/>
  <c r="C65" i="9"/>
  <c r="D24" i="7"/>
  <c r="D44" i="7"/>
  <c r="D64" i="7"/>
  <c r="C46" i="9"/>
  <c r="C66" i="9"/>
  <c r="D11" i="7"/>
  <c r="D31" i="7"/>
  <c r="C7" i="9"/>
  <c r="C27" i="9"/>
  <c r="C47" i="9"/>
  <c r="C67" i="9"/>
  <c r="D58" i="7"/>
  <c r="C8" i="9"/>
  <c r="C28" i="9"/>
  <c r="C48" i="9"/>
  <c r="C68" i="9"/>
  <c r="D5" i="7"/>
  <c r="D25" i="7"/>
  <c r="D45" i="7"/>
  <c r="D65" i="7"/>
  <c r="C9" i="9"/>
  <c r="C29" i="9"/>
  <c r="C49" i="9"/>
  <c r="D12" i="7"/>
  <c r="D32" i="7"/>
  <c r="D52" i="7"/>
  <c r="C10" i="9"/>
  <c r="C30" i="9"/>
  <c r="C50" i="9"/>
  <c r="C70" i="9"/>
  <c r="L14" i="5"/>
  <c r="L24" i="5"/>
  <c r="L34" i="5"/>
  <c r="L44" i="5"/>
  <c r="D22" i="1"/>
  <c r="D26" i="1"/>
  <c r="D30" i="1"/>
  <c r="L15" i="5"/>
  <c r="L25" i="5"/>
  <c r="D19" i="7"/>
  <c r="D39" i="7"/>
  <c r="D59" i="7"/>
  <c r="C11" i="9"/>
  <c r="D6" i="7"/>
  <c r="D26" i="7"/>
  <c r="D46" i="7"/>
  <c r="D66" i="7"/>
  <c r="C12" i="9"/>
  <c r="C32" i="9"/>
  <c r="D33" i="7"/>
  <c r="C73" i="9"/>
  <c r="D40" i="7"/>
  <c r="C34" i="9"/>
  <c r="C74" i="9"/>
  <c r="L13" i="5"/>
  <c r="L23" i="5"/>
  <c r="L43" i="5"/>
  <c r="D7" i="7"/>
  <c r="D27" i="7"/>
  <c r="D47" i="7"/>
  <c r="C15" i="9"/>
  <c r="C35" i="9"/>
  <c r="C55" i="9"/>
  <c r="C75" i="9"/>
  <c r="D14" i="7"/>
  <c r="D34" i="7"/>
  <c r="D54" i="7"/>
  <c r="D21" i="7"/>
  <c r="C17" i="9"/>
  <c r="D8" i="7"/>
  <c r="D68" i="7"/>
  <c r="C78" i="9"/>
  <c r="C2" i="9" l="1"/>
  <c r="L41" i="5"/>
  <c r="L31" i="5"/>
  <c r="C26" i="9"/>
  <c r="C42" i="9"/>
  <c r="C63" i="9"/>
  <c r="D4" i="7"/>
  <c r="D37" i="7"/>
  <c r="L5" i="5"/>
  <c r="D13" i="7"/>
  <c r="E4" i="1"/>
  <c r="C52" i="9"/>
  <c r="D18" i="7"/>
</calcChain>
</file>

<file path=xl/sharedStrings.xml><?xml version="1.0" encoding="utf-8"?>
<sst xmlns="http://schemas.openxmlformats.org/spreadsheetml/2006/main" count="2072" uniqueCount="654">
  <si>
    <t>لوحة متابعة (Dashboard) — الفجوات والمتطلبات والمشاريع</t>
  </si>
  <si>
    <t>إجمالي المشاريع</t>
  </si>
  <si>
    <t>المشاريع المتأخرة (متأخر/متأخر جدا)</t>
  </si>
  <si>
    <t>متوسط إغلاق المتطلبات</t>
  </si>
  <si>
    <t>متوسط إغلاق الفجوات</t>
  </si>
  <si>
    <t>أعلى فجوات متأخرة</t>
  </si>
  <si>
    <t>#</t>
  </si>
  <si>
    <t>رمز الفجوة</t>
  </si>
  <si>
    <t xml:space="preserve">النص </t>
  </si>
  <si>
    <t>نسبة الإغلاق</t>
  </si>
  <si>
    <t>عدد المشاريع</t>
  </si>
  <si>
    <t>المشاريع المتأخرة</t>
  </si>
  <si>
    <t>أعلى حالة تأخير</t>
  </si>
  <si>
    <t xml:space="preserve">المشاريع المرتبطة </t>
  </si>
  <si>
    <t>GAP-A-01</t>
  </si>
  <si>
    <t>غياب التكامل الشامل بين معظم التطبيقات؛ تكامل أحادي أو غير موثق.</t>
  </si>
  <si>
    <t>GAP-D-07</t>
  </si>
  <si>
    <t>توفر قدرات تحليلية متقدمة غير مفعلة على مستوى الهيئة</t>
  </si>
  <si>
    <t>GAP-D-09</t>
  </si>
  <si>
    <t>استمرار بعض التعاملات الورقية</t>
  </si>
  <si>
    <t>GAP-D-15</t>
  </si>
  <si>
    <t>الاعتماد على إدارة البيانات الورقية بدلًا من الأنظمة المؤتمتة</t>
  </si>
  <si>
    <t>GAP-T-8</t>
  </si>
  <si>
    <t>عدم وجود أهداف موثقة لمؤشرات RTO/RPO</t>
  </si>
  <si>
    <t>GAP-A-02</t>
  </si>
  <si>
    <t>ضعف التوثيق في العديد من التطبيقات</t>
  </si>
  <si>
    <t>GAP-A-03</t>
  </si>
  <si>
    <t>ضعف التوثيق الأمني في العديد من التطبيقات: تشفير البيانات والمصادقة المتقدمة</t>
  </si>
  <si>
    <t>GAP-A-08</t>
  </si>
  <si>
    <t>غياب سجل مركزي لتتبع التطبيقات وتقيّدها بمعايير موحَّدة في التطوير والدعم</t>
  </si>
  <si>
    <t>GAP-A-09</t>
  </si>
  <si>
    <t>عدم استفادة شاملة من Denodo/Talend/CP4D، ونقص في مستودع بيانات مركزي  (Data Lake) يتكامل مع كل الأنظمة</t>
  </si>
  <si>
    <t>GAP-A-10</t>
  </si>
  <si>
    <t>عدم استفادة شاملة من ادوات و تطبيقات ذكاء الأعمال</t>
  </si>
  <si>
    <t>أعلى متطلبات متأخرة</t>
  </si>
  <si>
    <t>رمز المتطلب</t>
  </si>
  <si>
    <t xml:space="preserve">وصف المتطلب </t>
  </si>
  <si>
    <t>المشاريع المرتبطة (اختصار)</t>
  </si>
  <si>
    <t>BR07</t>
  </si>
  <si>
    <t>توفير برامج تدريبية لتعزيز الثقافة الرشيقة والابتكار بين الموظفين</t>
  </si>
  <si>
    <t>AR05</t>
  </si>
  <si>
    <t>اعتماد نظام لإدارة جودة البيانات يشمل تعريف البيانات والمؤشرات وتجنب تكرار التقارير</t>
  </si>
  <si>
    <t>AR10</t>
  </si>
  <si>
    <t>تطوير نظام إدارة الإنابة لضمان استمرارية الأعمال عند غياب الموظفين</t>
  </si>
  <si>
    <t>AR17</t>
  </si>
  <si>
    <t>تطوير نظام متخصص للجودة يساعد في بناء وتحديث وتطوير الإجراءات المتعلقة بأعمال الجودة</t>
  </si>
  <si>
    <t>AR18</t>
  </si>
  <si>
    <t>تكامل النظام الجديد مع الأنظمة الحالية لضمان تدفق المعلومات وتحقيق الجودة الشاملة</t>
  </si>
  <si>
    <t>BR15</t>
  </si>
  <si>
    <t>إعداد وتنفيذ سياسة واضحة لتقييم أداء الموظف تشمل ربط المهام المنجزة بمؤشرات الأداء الرئيسية (KPIs)</t>
  </si>
  <si>
    <t>DR01</t>
  </si>
  <si>
    <t>وضع معايير موحدة لجودة البيانات وتقديم تدريبات للموظفين لتحسين جودة البيانات والتقارير</t>
  </si>
  <si>
    <t>BR04</t>
  </si>
  <si>
    <t>تطوير وتطبيق نموذج متعدد القنوات لدمج جميع قنوات التواصل مع المستفيدين لتحقيق تجربة مستفيدين سلسة</t>
  </si>
  <si>
    <t>BR16</t>
  </si>
  <si>
    <t>إنشاء آلية فعالة لمعالجة ومتابعة المقترحات والشكاوى لضمان استجابة سريعة وفعالة</t>
  </si>
  <si>
    <t>AR09</t>
  </si>
  <si>
    <t>تنفيذ برامج وأدوات لقياس وتحليل رضا المستفيدين وثقتهم بشكل دوري وتحسين الأداء بناء على النتائج (داخلي وخارجي + استطلاعات رأي دورية)</t>
  </si>
  <si>
    <t>المشاريع المؤثرة على أكبر عدد متطلبات/فجوات</t>
  </si>
  <si>
    <t xml:space="preserve">اسم المشروع </t>
  </si>
  <si>
    <t>حالة التنفيذ</t>
  </si>
  <si>
    <t>نسبة الإنجاز %</t>
  </si>
  <si>
    <t>#الفجوات</t>
  </si>
  <si>
    <t>#المتطلبات</t>
  </si>
  <si>
    <t>إجمالي التأثير</t>
  </si>
  <si>
    <t>اختصار الفجوات</t>
  </si>
  <si>
    <t>اختصار المتطلبات</t>
  </si>
  <si>
    <t>تأسيس وتنفيذ وتشغيل البنية المؤسسية في هيئة تقويم التعليم و التدريب</t>
  </si>
  <si>
    <t>المنصة الرقمية لمؤسسات التعليم والتدريب</t>
  </si>
  <si>
    <t>تحقيق شهادات الجودة</t>
  </si>
  <si>
    <t>مشروع دعم مايكروسوفت الموحد</t>
  </si>
  <si>
    <t>المساعد الرقمي للعناية بالمستفيدين</t>
  </si>
  <si>
    <t>منصة ديجيتال اكس</t>
  </si>
  <si>
    <t>توريد وتركيب أدوات ذكاء الأعمال والتحليلات المتقدمة</t>
  </si>
  <si>
    <t>تشغيل وصيانة نظم البيانات والتكامل وذكاء الأعمال لمنافسة</t>
  </si>
  <si>
    <t>تفعيل الابتكار الرقمي</t>
  </si>
  <si>
    <t>توريد وتركيب أدوات إدارة البيانات الوصفية والبيانات الرئيسية والمرجعية</t>
  </si>
  <si>
    <t>رفع مستوى نضج تطبيق ممارسات إدارة البيانات</t>
  </si>
  <si>
    <t>حل مراقبة الشبكة والرؤية التلقائية واستكشاف الأخطاء وإصلاحها</t>
  </si>
  <si>
    <t>حل تحسين أداء شبكة WAN</t>
  </si>
  <si>
    <t>تطوير نظامي إدارة استكشاف الأصول التقنية والأجهزة الطرفية</t>
  </si>
  <si>
    <t>تطبيقات الذكاء الاصطناعي</t>
  </si>
  <si>
    <t>تعريف متطلبات البنية المؤسسية</t>
  </si>
  <si>
    <t>متطلبات البنية المؤسسية هي احتياجات/التزامات قابلة للقياس تُعرِّف ما يجب على الهيئة تحقيقه أو توفيره ضمن مجالات البنية (الأعمال، البيانات، التطبيقات، التقنية/الأمن) لضمان المواءمة الاستراتيجية، الحوكمة، وتحسين الكفاءة وتجربة المستفيد.</t>
  </si>
  <si>
    <t>طريقة استخدام السجل</t>
  </si>
  <si>
    <t>1) راجع شيت (سجل المتطلبات)؛ نصوص المتطلبات كما هي بدون إعادة صياغة.</t>
  </si>
  <si>
    <t>2) لكل متطلب: اربطه بالفجوات (أكواد GAP-*) وبالمشاريع المناسبة من شيت (المشاريع).</t>
  </si>
  <si>
    <t>3) عبّئ (مدى الصعوبة، حالة التنفيذ، الأدلة) من واقع التنفيذ فقط.</t>
  </si>
  <si>
    <t>4) استخدم شيت (الفجوات) لتتبع إغلاق الفجوات وربطها بالمتطلبات والمشاريع.</t>
  </si>
  <si>
    <t>المجالات</t>
  </si>
  <si>
    <t>الأولوية</t>
  </si>
  <si>
    <t>حالة المتطلب/التنفيذ</t>
  </si>
  <si>
    <t>مدى الصعوبة</t>
  </si>
  <si>
    <t>حالة الدليل</t>
  </si>
  <si>
    <t>نوع الدليل</t>
  </si>
  <si>
    <t>أهداف البنية المؤسسية</t>
  </si>
  <si>
    <t>أكواد الفجوات</t>
  </si>
  <si>
    <t>المشاريع</t>
  </si>
  <si>
    <t>حالة المشروع</t>
  </si>
  <si>
    <t>مصادر المتطلبات</t>
  </si>
  <si>
    <t>الأعمال</t>
  </si>
  <si>
    <t>عالي</t>
  </si>
  <si>
    <t>جديد</t>
  </si>
  <si>
    <t>منخفض</t>
  </si>
  <si>
    <t>غير متوفر</t>
  </si>
  <si>
    <t>وثيقة</t>
  </si>
  <si>
    <t>دعم اتخاذ القرارات</t>
  </si>
  <si>
    <t>GAP-B-01</t>
  </si>
  <si>
    <t>توفير أداة لإنشاء الاستبيانات والتقييم جاهزة للتطبيق</t>
  </si>
  <si>
    <t>لم يبدأ</t>
  </si>
  <si>
    <t>أخصائي الجودة للأعمال</t>
  </si>
  <si>
    <t>البيانات</t>
  </si>
  <si>
    <t>متدني</t>
  </si>
  <si>
    <t>متوسط</t>
  </si>
  <si>
    <t>جزئي</t>
  </si>
  <si>
    <t>تقرير</t>
  </si>
  <si>
    <t>تعزيز الكفاءة التشغيلية وكفاءة الانفاق</t>
  </si>
  <si>
    <t>GAP-B-02</t>
  </si>
  <si>
    <t>قيد التنفيذ</t>
  </si>
  <si>
    <t>إدارة التميز المؤسسي</t>
  </si>
  <si>
    <t>التقنية</t>
  </si>
  <si>
    <t>جاري</t>
  </si>
  <si>
    <t>مرتفع</t>
  </si>
  <si>
    <t>متوفر</t>
  </si>
  <si>
    <t>محضر/عرض</t>
  </si>
  <si>
    <t>تمكين التحول الرقمي</t>
  </si>
  <si>
    <t>GAP-B-03</t>
  </si>
  <si>
    <t>توريد وتركيب وترقية أجهزة موزع الأحمال والرخص الخاصة بها</t>
  </si>
  <si>
    <t>مكتمل</t>
  </si>
  <si>
    <t>التحليل الرباعي</t>
  </si>
  <si>
    <t>لقطة شاشة</t>
  </si>
  <si>
    <t>دعم تحسين تجربة المستفيد</t>
  </si>
  <si>
    <t>GAP-B-04</t>
  </si>
  <si>
    <t>توريد أجهزة الجدار الناري والرخص الخاصة بها</t>
  </si>
  <si>
    <t>متعثر</t>
  </si>
  <si>
    <t>تقييم القدرات المؤسسية</t>
  </si>
  <si>
    <t>سجل نظام</t>
  </si>
  <si>
    <t>تعزيز الحوكمة المؤسسية</t>
  </si>
  <si>
    <t>GAP-B-05</t>
  </si>
  <si>
    <t>تطبيق خدمة النفاذ الوطني الموحد في هيئة تقويم التعليم والتدريب</t>
  </si>
  <si>
    <t>مؤجل</t>
  </si>
  <si>
    <t>بريد إلكتروني</t>
  </si>
  <si>
    <t>المواءمة الاستراتيجية</t>
  </si>
  <si>
    <t>GAP-B-06</t>
  </si>
  <si>
    <t>تقديم خدمة أداء الاختبارات الرقمية للرجال بمحافظة جدة</t>
  </si>
  <si>
    <t>رابط نظام/بوابة</t>
  </si>
  <si>
    <t>GAP-B-07</t>
  </si>
  <si>
    <t>توفير نظام لتطبيق الاختبارات الطارئة لهيئة تقويم التعليم والتدريب</t>
  </si>
  <si>
    <t>أخرى</t>
  </si>
  <si>
    <t>GAP-B-08</t>
  </si>
  <si>
    <t>توريد وتركيب أجهزة حفظ الطاقة بمقرات الاختبارات المحوسبة وتقديم الدعم الفني</t>
  </si>
  <si>
    <t>GAP-B-09</t>
  </si>
  <si>
    <t>توفير خدمة للتعلم الإلكتروني جاهزة للاستخدام</t>
  </si>
  <si>
    <t>GAP-B-10</t>
  </si>
  <si>
    <t>تأمين خدمة التحقق من بيانات المتقدمين للاختبارات يقين</t>
  </si>
  <si>
    <t>GAP-B-11</t>
  </si>
  <si>
    <t>مشروع البنية التحتية لنظام سطح المكتب الافتراضي VDI</t>
  </si>
  <si>
    <t>GAP-B-12</t>
  </si>
  <si>
    <t>الربط الشبكي لمقرات الاختبارات المحوسبة</t>
  </si>
  <si>
    <t>GAP-B-13</t>
  </si>
  <si>
    <t>مشروع شراء وتجديد رخص البرامج في هيئة تقويم التعليم والتدريب</t>
  </si>
  <si>
    <t>GAP-B-14</t>
  </si>
  <si>
    <t>تجديد رخص أنظمة</t>
  </si>
  <si>
    <t>GAP-B-15</t>
  </si>
  <si>
    <t>تأمين خدمة الرسائل النصية لهيئة تقويم التعليم والتدريب</t>
  </si>
  <si>
    <t>GAP-B-16</t>
  </si>
  <si>
    <t>توفير وتركيب أداة التطوير منخفضة صفرية الترميز</t>
  </si>
  <si>
    <t>GAP-B-17</t>
  </si>
  <si>
    <t>صيانة وتطوير تطبيق التحقق من هوية المختبرين</t>
  </si>
  <si>
    <t>GAP-B-18</t>
  </si>
  <si>
    <t>تقديم خدمة أداء الاختبارات الرقمية في المدن التالية: غرب مدينة الرياض - الدمام - المدينة المنورة - الطائف - بريدة - الهفوف - جازان - جدة</t>
  </si>
  <si>
    <t>GAP-B-19</t>
  </si>
  <si>
    <t>الدعم الفني لأنظمة إدارة الموارد ساب</t>
  </si>
  <si>
    <t>GAP-B-20</t>
  </si>
  <si>
    <t>GAP-B-21</t>
  </si>
  <si>
    <t>استضافة مركز البيانات</t>
  </si>
  <si>
    <t>GAP-B-22</t>
  </si>
  <si>
    <t>منافسة تقديم خدمات لأنظمة تطبيق الاختبارات المحوسبة</t>
  </si>
  <si>
    <t>GAP-B-23</t>
  </si>
  <si>
    <t>تطوير نظامي اختبارات الطوارئ والاختبارات المؤسسية</t>
  </si>
  <si>
    <t>GAP-B-24</t>
  </si>
  <si>
    <t>تطوير تطبيق ومنصة مستقبلهم</t>
  </si>
  <si>
    <t>GAP-B-25</t>
  </si>
  <si>
    <t>التصحيح الالي</t>
  </si>
  <si>
    <t>GAP-B-26</t>
  </si>
  <si>
    <t>توريد وتركيب وتشغيل الكبائن الذكية لتطبيق الاختبارات</t>
  </si>
  <si>
    <t>GAP-B-27</t>
  </si>
  <si>
    <t>GAP-B-28</t>
  </si>
  <si>
    <t>GAP-B-29</t>
  </si>
  <si>
    <t>GAP-B-30</t>
  </si>
  <si>
    <t>GAP-B-31</t>
  </si>
  <si>
    <t>GAP-D-01</t>
  </si>
  <si>
    <t>استمرارية الاعمال</t>
  </si>
  <si>
    <t>GAP-D-02</t>
  </si>
  <si>
    <t>GAP-D-03</t>
  </si>
  <si>
    <t>GAP-D-04</t>
  </si>
  <si>
    <t>GAP-D-05</t>
  </si>
  <si>
    <t>خدمات الطباعة</t>
  </si>
  <si>
    <t>GAP-D-06</t>
  </si>
  <si>
    <t>حل تخزين السجلات</t>
  </si>
  <si>
    <t>اجهزة حاسب</t>
  </si>
  <si>
    <t>GAP-D-08</t>
  </si>
  <si>
    <t>تجهيز البنية التحتية لمقرات المحوسبة</t>
  </si>
  <si>
    <t>توفير خدمة الاشتراك في موقع إلكتروني لتقديم خدمات الدعم والأبحاث التقنية</t>
  </si>
  <si>
    <t>GAP-D-10</t>
  </si>
  <si>
    <t>توفير منتجات الحوسبة السحابية</t>
  </si>
  <si>
    <t>GAP-D-11</t>
  </si>
  <si>
    <t>GAP-D-12</t>
  </si>
  <si>
    <t>تهيئة البيئة الافتراضية Infoblox</t>
  </si>
  <si>
    <t>GAP-D-13</t>
  </si>
  <si>
    <t>الدوائر الالكترونية</t>
  </si>
  <si>
    <t>GAP-D-14</t>
  </si>
  <si>
    <t>توفير رخص تقنية</t>
  </si>
  <si>
    <t>GAP-D-16</t>
  </si>
  <si>
    <t>GAP-D-17</t>
  </si>
  <si>
    <t>النظام الشامل للاختبارات</t>
  </si>
  <si>
    <t>GAP-D-18</t>
  </si>
  <si>
    <t>التقويم الذكي</t>
  </si>
  <si>
    <t>GAP-D-19</t>
  </si>
  <si>
    <t>توليد الأسئلة</t>
  </si>
  <si>
    <t>GAP-D-20</t>
  </si>
  <si>
    <t>GAP-D-21</t>
  </si>
  <si>
    <t>مشروع تشغيل وصيانة البنية التقنية والبيانات وتطبيق الذكاء</t>
  </si>
  <si>
    <t>GAP-D-22</t>
  </si>
  <si>
    <t>مشروع الصيانة والدعم الفني لأجهزة البصمة في هيئة تقويم التعليم والتدريب و المراكز التابعة لها</t>
  </si>
  <si>
    <t>GAP-D-23</t>
  </si>
  <si>
    <t>GAP-D-24</t>
  </si>
  <si>
    <t>مشروع توريد وتركيب وتشغيل أداة المحاكاة الافتراضية للبيانات</t>
  </si>
  <si>
    <t>GAP-D-25</t>
  </si>
  <si>
    <t>تشغيل وصيانة أنظمة هيئة تقويم التعليم والتدريب</t>
  </si>
  <si>
    <t>GAP-D-26</t>
  </si>
  <si>
    <t>تشغيل وصيانة أنظمة خدمات الأفراد في هيئة تقويم التعليم والتدريب</t>
  </si>
  <si>
    <t>GAP-D-27</t>
  </si>
  <si>
    <t>تشغيل وصيانة أنظمة الهيئة ومراكزها وتشغيل وصيانة نظام اختبارات الطوارئ</t>
  </si>
  <si>
    <t>GAP-D-28</t>
  </si>
  <si>
    <t>نظام النسخ الاحتياطي وحفظ البيانات</t>
  </si>
  <si>
    <t>GAP-D-29</t>
  </si>
  <si>
    <t>توريد وتركيب أجهزة التخزين لمركز البيانات</t>
  </si>
  <si>
    <t>GAP-D-30</t>
  </si>
  <si>
    <t>الخدمات الاستشارية المدارة لتعزيز إدارة دورة حياة البرمجيات</t>
  </si>
  <si>
    <t>GAP-D-31</t>
  </si>
  <si>
    <t>أداة التوقيع الالكتروني</t>
  </si>
  <si>
    <t>برنامج التهيئة لاختبار القدرات العامة</t>
  </si>
  <si>
    <t>تقديم خدمة أداء الاختبارات الرقمية في المدن التالية: أبها - مكة المكرمة - حائل - الخرج - حفر الباطن</t>
  </si>
  <si>
    <t>تقديم خدمة ربط أنظمة الهيئة بتطبيق توكلنا</t>
  </si>
  <si>
    <t>GAP-A-04</t>
  </si>
  <si>
    <t>ألف ياء للذكاء</t>
  </si>
  <si>
    <t>GAP-A-05</t>
  </si>
  <si>
    <t>نظام الاتصالات الادارية</t>
  </si>
  <si>
    <t>GAP-A-06</t>
  </si>
  <si>
    <t>تقديم خدمة أداء الاختبارات الرقمية في المدن التالية: المقرات النموذجي</t>
  </si>
  <si>
    <t>GAP-A-07</t>
  </si>
  <si>
    <t>GAP-T-1</t>
  </si>
  <si>
    <t>GAP-T-2</t>
  </si>
  <si>
    <t>GAP-T-3</t>
  </si>
  <si>
    <t>GAP-T-4</t>
  </si>
  <si>
    <t>GAP-T-5</t>
  </si>
  <si>
    <t>GAP-T-6</t>
  </si>
  <si>
    <t>GAP-T-7</t>
  </si>
  <si>
    <t>GAP-T-9</t>
  </si>
  <si>
    <t>GAP-T-10</t>
  </si>
  <si>
    <t>GAP-T-11</t>
  </si>
  <si>
    <t>GAP-T-12</t>
  </si>
  <si>
    <t>GAP-T-13</t>
  </si>
  <si>
    <t>GAP-T-14</t>
  </si>
  <si>
    <t>GAP-T-15</t>
  </si>
  <si>
    <t>GAP-T-16</t>
  </si>
  <si>
    <t>GAP-T-17</t>
  </si>
  <si>
    <t>GAP-T-18</t>
  </si>
  <si>
    <t>GAP-T-19</t>
  </si>
  <si>
    <t>GAP-T-20</t>
  </si>
  <si>
    <t>طبقة/مجال المشروع (اختياري)</t>
  </si>
  <si>
    <t>الفجوات المستهدفة (GAP-*)</t>
  </si>
  <si>
    <t>المتطلبات التي يحققها (BR/AR/DR/TR)</t>
  </si>
  <si>
    <t>تاريخ البدء</t>
  </si>
  <si>
    <t>تاريخ الانتهاء</t>
  </si>
  <si>
    <t>المالك</t>
  </si>
  <si>
    <t>ملاحظات</t>
  </si>
  <si>
    <t>عدد المتطلبات المرتبطة</t>
  </si>
  <si>
    <t>عدد الفجوات المرتبطة</t>
  </si>
  <si>
    <t>نسبة إنجاز المشروع (مؤكدة)</t>
  </si>
  <si>
    <t>GAP-B-20 | GAP-D-14</t>
  </si>
  <si>
    <t>GAP-A-05 | GAP-B-14 | GAP-B-16 | GAP-B-17 | GAP-B-25 | GAP-B-75 | GAP-B-89</t>
  </si>
  <si>
    <t>AR01 | AR16 | AR19 | BR05 | BR06 | BR19</t>
  </si>
  <si>
    <t>الإدارة العامة لتقنية المعلومات</t>
  </si>
  <si>
    <t>TR01</t>
  </si>
  <si>
    <t>البنية التحتية والأمن السيبراني</t>
  </si>
  <si>
    <t>GAP-T-14 | GAP-T-17</t>
  </si>
  <si>
    <t>TR04</t>
  </si>
  <si>
    <t>GAP-T-11 | GAP-T-14</t>
  </si>
  <si>
    <t>TR02</t>
  </si>
  <si>
    <t>حسب المخطط</t>
  </si>
  <si>
    <t>GAP-A-06 | GAP-D-12 | GAP-T-4</t>
  </si>
  <si>
    <t>AR07</t>
  </si>
  <si>
    <t>GAP-A-07 | GAP-B-01</t>
  </si>
  <si>
    <t>BR02</t>
  </si>
  <si>
    <t>GAP-B-14 | GAP-B-19 | GAP-B-77 | GAP-B-78</t>
  </si>
  <si>
    <t>BR07 | BR08</t>
  </si>
  <si>
    <t>GAP-D-06 | GAP-D-16 | GAP-D-28 | GAP-T-7</t>
  </si>
  <si>
    <t>AR04 | DR02</t>
  </si>
  <si>
    <t>إدارة البيانات</t>
  </si>
  <si>
    <t>GAP-B-07 | GAP-B-18 | GAP-D-13 | GAP-T-13</t>
  </si>
  <si>
    <t>AR02 | AR08 | AR11 | BR12</t>
  </si>
  <si>
    <t>GAP-D-07 | GAP-D-09 | GAP-D-15 | GAP-T-8</t>
  </si>
  <si>
    <t>AR05 | DR01</t>
  </si>
  <si>
    <t>GAP-B-04 | GAP-B-05 | GAP-B-17 | GAP-B-20 | GAP-B-23 | GAP-B-86 | GAP-D-14</t>
  </si>
  <si>
    <t>AR09 | BR04 | BR16</t>
  </si>
  <si>
    <t>GAP-D-13 | GAP-T-13</t>
  </si>
  <si>
    <t>AR08 | TR05</t>
  </si>
  <si>
    <t>GAP-D-04 | GAP-D-05 | GAP-T-5 | GAP-T-6</t>
  </si>
  <si>
    <t>AR03</t>
  </si>
  <si>
    <t>GAP-T-11 | GAP-T-14 | GAP-T-17</t>
  </si>
  <si>
    <t>TR02 | TR04</t>
  </si>
  <si>
    <t>GAP-B-02 | GAP-B-06 | GAP-B-13 | GAP-B-14 | GAP-B-15 | GAP-B-29 | GAP-B-67 | GAP-B-75 | GAP-B-77 | GAP-B-87 | GAP-B-88</t>
  </si>
  <si>
    <t>AR17 | BR01 | BR05 | BR06 | BR07 | BR13 | BR17 | BR18</t>
  </si>
  <si>
    <t>GAP-A-04 | GAP-A-05 | GAP-B-04 | GAP-B-05 | GAP-B-16 | GAP-B-17 | GAP-B-20 | GAP-B-23 | GAP-B-24 | GAP-B-25 | GAP-B-86 | GAP-B-89 | GAP-D-10 | GAP-D-11 | GAP-D-31</t>
  </si>
  <si>
    <t>AR06 | AR14 | AR15 | AR16 | BR03 | BR04 | BR10 | BR16 | BR19</t>
  </si>
  <si>
    <t>GAP-B-21 | GAP-B-28 | GAP-B-63 | GAP-B-70 | GAP-B-85 | GAP-B-90</t>
  </si>
  <si>
    <t>AR12 | AR13 | AR20</t>
  </si>
  <si>
    <t>GAP-B-18 | GAP-D-10 | GAP-D-11 | GAP-D-31</t>
  </si>
  <si>
    <t>AR02 | AR06</t>
  </si>
  <si>
    <t>TR05</t>
  </si>
  <si>
    <t>GAP-A-04 | GAP-A-05 | GAP-B-02 | GAP-B-06 | GAP-B-10 | GAP-B-13 | GAP-B-15 | GAP-B-19 | GAP-B-22 | GAP-B-26 | GAP-B-28 | GAP-B-29 | GAP-B-78 | GAP-B-84 | GAP-B-87 | GAP-B-88 | GAP-B-90</t>
  </si>
  <si>
    <t>BR01 | BR08 | BR09 | BR10 | BR11 | BR13 | BR14 | BR17 | BR18 | BR20</t>
  </si>
  <si>
    <t>TR03</t>
  </si>
  <si>
    <t>GAP-A-01 | GAP-B-05</t>
  </si>
  <si>
    <t>متأخر</t>
  </si>
  <si>
    <t>متأخر جدا</t>
  </si>
  <si>
    <t>طبقة/مجال المتطلب</t>
  </si>
  <si>
    <t>مصدر المتطلب</t>
  </si>
  <si>
    <t>أولوية التنفيذ</t>
  </si>
  <si>
    <t>مرجع الوضع المستقبلي (To-Be)</t>
  </si>
  <si>
    <t>المشاريع المرتبطة</t>
  </si>
  <si>
    <t>نسبة إغلاق المتطلب (محسوبة من المشاريع)</t>
  </si>
  <si>
    <t>تاريخ آخر تحديث</t>
  </si>
  <si>
    <t>BR01</t>
  </si>
  <si>
    <t>إعادة هندسة الإجراءات الخاصة بإدارة التغيير على العمليات مع وضع حوكمة فعالة، مع اعتبار الية لمراجعة وتحديث إجراءات الأعمال ونماذجها</t>
  </si>
  <si>
    <t>إغلاق GAP-B-06 | GAP-B-13 | GAP-B-15</t>
  </si>
  <si>
    <t>تعزيز الحوكمة المؤسسية، المواءمة الاستراتيجية</t>
  </si>
  <si>
    <t>GAP-B-06 | GAP-B-13 | GAP-B-15</t>
  </si>
  <si>
    <t>تأسيس وتنفيذ وتشغيل البنية المؤسسية في هيئة تقويم التعليم و التدريب | تحقيق شهادات الجودة</t>
  </si>
  <si>
    <t>استكمال أتمتة جميع الإجراءات المتبقية لضمان تكامل الخدمات وتحسين الكفاءة التشغيلية</t>
  </si>
  <si>
    <t>إغلاق GAP-B-01 | GAP-A-07</t>
  </si>
  <si>
    <t>تعزيز الكفاءة التشغيلية وكفاءة الانفاق، تمكين التحول الرقمي</t>
  </si>
  <si>
    <t>GAP-B-01 | GAP-A-07</t>
  </si>
  <si>
    <t>تطوير نظامي اختبارات الطوارئ والاختبارات المؤسسية | النظام الشامل للاختبارات</t>
  </si>
  <si>
    <t>AR01</t>
  </si>
  <si>
    <t>تطوير نظام تواصل داخلي فعال يقلل الاعتماد على البريد الإلكتروني ويزيد التعاون</t>
  </si>
  <si>
    <t>إغلاق GAP-B-17 | GAP-A-05</t>
  </si>
  <si>
    <t>GAP-B-17 | GAP-A-05</t>
  </si>
  <si>
    <t>AR02</t>
  </si>
  <si>
    <t>توفير نظام مركزي لمتابعة الأداء وتحليل البيانات</t>
  </si>
  <si>
    <t>إغلاق GAP-B-18</t>
  </si>
  <si>
    <t>توريد وتركيب أدوات ذكاء الأعمال والتحليلات المتقدمة | تشغيل وصيانة نظم البيانات والتكامل وذكاء الأعمال لمنافسة</t>
  </si>
  <si>
    <t>BR03</t>
  </si>
  <si>
    <t>إعادة هندسة الإجراءات الخاصة بإدارة  التواصل مع الجهات الحكومية المزودة للخدمات لضمان استمرارية الخدمة</t>
  </si>
  <si>
    <t>إغلاق GAP-B-17 | GAP-B-05</t>
  </si>
  <si>
    <t>GAP-B-17 | GAP-B-05</t>
  </si>
  <si>
    <t>تطوير منصة موحدة مستقبلهم | المنصة الرقمية لمؤسسات التعليم والتدريب</t>
  </si>
  <si>
    <t>تأمين آلية مصادقة موحدة تشمل التحقق الثنائي وكلمات المرور لتعزيز الأمان والفعالية</t>
  </si>
  <si>
    <t>إغلاق GAP-T-10</t>
  </si>
  <si>
    <t>توفير الية للإبلاغ عن حوادث سرقة البيانات، بالإضافة إلى توفير تدريبات منتظمة للموظفين حول كيفية التعامل مع مثل هذه الحوادث</t>
  </si>
  <si>
    <t>إغلاق GAP-D-04 | GAP-D-05 | GAP-T-5 | GAP-T-6</t>
  </si>
  <si>
    <t>AR04</t>
  </si>
  <si>
    <t>اعتماد تقنيات متقدمة لتصنيف البيانات، مثل بعض أنظمة إدارة البيانات المؤسسية التي تدعم التصنيف التلقائي والذكي للبيانات</t>
  </si>
  <si>
    <t>إغلاق GAP-D-06 | GAP-T-7</t>
  </si>
  <si>
    <t>تعزيز الحوكمة المؤسسية، تمكين التحول الرقمي</t>
  </si>
  <si>
    <t>GAP-D-06 | GAP-T-7</t>
  </si>
  <si>
    <t>إغلاق GAP-D-15 | GAP-D-07</t>
  </si>
  <si>
    <t>دعم اتخاذ القرارات، تعزيز الحوكمة المؤسسية</t>
  </si>
  <si>
    <t>GAP-D-15 | GAP-D-07</t>
  </si>
  <si>
    <t>إغلاق GAP-D-07 | GAP-T-8 | GAP-D-09</t>
  </si>
  <si>
    <t>دعم اتخاذ القرارات، تعزيز الكفاءة التشغيلية وكفاءة الانفاق</t>
  </si>
  <si>
    <t>GAP-D-07 | GAP-T-8 | GAP-D-09</t>
  </si>
  <si>
    <t>DR02</t>
  </si>
  <si>
    <t>تطوير وتنفيذ إجراء موحد لتحديد البيانات الرئيسية والمرجعية وضمان تحديثه بانتظام</t>
  </si>
  <si>
    <t>إغلاق GAP-D-16 | GAP-D-28</t>
  </si>
  <si>
    <t>GAP-D-16 | GAP-D-28</t>
  </si>
  <si>
    <t>AR06</t>
  </si>
  <si>
    <t>تطوير نظام موحد لتجميع بيانات المستفيدين وتحسين تكامل البيانات بين الأنظمة المختلفة</t>
  </si>
  <si>
    <t>إغلاق GAP-D-10 | GAP-D-11 | GAP-D-31</t>
  </si>
  <si>
    <t>دعم تحسين تجربة المستفيد، دعم اتخاذ القرارات</t>
  </si>
  <si>
    <t>GAP-D-10 | GAP-D-11 | GAP-D-31</t>
  </si>
  <si>
    <t>المنصة الرقمية لمؤسسات التعليم والتدريب | تشغيل وصيانة نظم البيانات والتكامل وذكاء الأعمال لمنافسة</t>
  </si>
  <si>
    <t>ضمان تنوع مصادر مزودي خدمات الإنترنت لضمان استمرارية الأعمال والخدمات</t>
  </si>
  <si>
    <t>إغلاق GAP-T-11 | GAP-T-14</t>
  </si>
  <si>
    <t>حل تحسين أداء شبكة WAN | الربط الشبكي لمقرات الاختبارات المحوسبة</t>
  </si>
  <si>
    <t>الإسراع في تنفيذ خطط التعافي من الكوارث وتحديثها بانتظام لضمان حماية البنية التحتية لتقنية المعلومات</t>
  </si>
  <si>
    <t>إغلاق GAP-T-12</t>
  </si>
  <si>
    <t>نظام النسخ الاحتياطي وحفظ البيانات | توريد وتركيب أجهزة التخزين لمركز البيانات</t>
  </si>
  <si>
    <t>اعتماد آلية مركزية لإدارة الأصول التقنية تشمل جميع الأصول بشكل شامل وفعال</t>
  </si>
  <si>
    <t>إغلاق GAP-A-06 | GAP-T-4 | GAP-D-12</t>
  </si>
  <si>
    <t>تعزيز الكفاءة التشغيلية وكفاءة الانفاق، تعزيز الحوكمة المؤسسية</t>
  </si>
  <si>
    <t>GAP-A-06 | GAP-T-4 | GAP-D-12</t>
  </si>
  <si>
    <t>إغلاق GAP-B-17 | GAP-B-04 | GAP-B-20 | GAP-B-05</t>
  </si>
  <si>
    <t>دعم تحسين تجربة المستفيد، تمكين التحول الرقمي</t>
  </si>
  <si>
    <t>GAP-B-17 | GAP-B-04 | GAP-B-20 | GAP-B-05</t>
  </si>
  <si>
    <t>المساعد الرقمي للعناية بالمستفيدين | المنصة الرقمية لمؤسسات التعليم والتدريب</t>
  </si>
  <si>
    <t>الإسراع في تنفيذ نظام وفرة دائم (Redundancy) على مختلف طبقات الشبكة  في البرج الجديد لضمان استمرارية الخدمات</t>
  </si>
  <si>
    <t>إغلاق GAP-T-14 | GAP-T-17</t>
  </si>
  <si>
    <t>توريد وتركيب أجهزة حفظ الطاقة بمقرات الاختبارات المحوسبة وتقديم الدعم الفني | حل تحسين أداء شبكة WAN</t>
  </si>
  <si>
    <t>AR08</t>
  </si>
  <si>
    <t>تطوير نظام تحليل بيانات متكامل لرصد احتياجات المستفيدين وتوفير الحلول بشكل استباقي</t>
  </si>
  <si>
    <t>إغلاق GAP-D-13 | GAP-T-13</t>
  </si>
  <si>
    <t>دعم اتخاذ القرارات، تمكين التحول الرقمي</t>
  </si>
  <si>
    <t>توريد وتركيب أدوات ذكاء الأعمال والتحليلات المتقدمة | تطبيقات الذكاء الاصطناعي</t>
  </si>
  <si>
    <t>BR05</t>
  </si>
  <si>
    <t>إجراء تقييم دوري لتحديد مستوى الثقافة الرقمية بين الموظفين وتطوير خطة لتحسينها</t>
  </si>
  <si>
    <t>إغلاق GAP-B-14 | GAP-B-75</t>
  </si>
  <si>
    <t>تعزيز الكفاءة التشغيلية وكفاءة الانفاق، المواءمة الاستراتيجية</t>
  </si>
  <si>
    <t>GAP-B-14 | GAP-B-75</t>
  </si>
  <si>
    <t>مشروع دعم مايكروسوفت الموحد | تحقيق شهادات الجودة</t>
  </si>
  <si>
    <t>BR06</t>
  </si>
  <si>
    <t>تطوير وتنفيذ برنامج تدريبي شامل وفعال للموظفين لتعزيز المهارات الرقمية كجزء من التحسين المستمر</t>
  </si>
  <si>
    <t>إغلاق GAP-B-14</t>
  </si>
  <si>
    <t>إغلاق GAP-B-14 | GAP-B-77</t>
  </si>
  <si>
    <t>تمكين التحول الرقمي، المواءمة الاستراتيجية</t>
  </si>
  <si>
    <t>GAP-B-14 | GAP-B-77</t>
  </si>
  <si>
    <t>تفعيل الابتكار الرقمي | تحقيق شهادات الجودة</t>
  </si>
  <si>
    <t>BR08</t>
  </si>
  <si>
    <t>اعتماد وتطبيق منهجيات العمل الرشيقة لتعزيز الابتكار والتكيف داخل الهيئة</t>
  </si>
  <si>
    <t>إغلاق GAP-B-19 | GAP-B-78</t>
  </si>
  <si>
    <t>تمكين التحول الرقمي، تعزيز الحوكمة المؤسسية</t>
  </si>
  <si>
    <t>GAP-B-19 | GAP-B-78</t>
  </si>
  <si>
    <t>تفعيل الابتكار الرقمي | تأسيس وتنفيذ وتشغيل البنية المؤسسية في هيئة تقويم التعليم و التدريب</t>
  </si>
  <si>
    <t>إغلاق GAP-B-20 | GAP-D-14</t>
  </si>
  <si>
    <t>المساعد الرقمي للعناية بالمستفيدين | توفير أداة لإنشاء الاستبيانات والتقييم جاهزة للتطبيق</t>
  </si>
  <si>
    <t>BR09</t>
  </si>
  <si>
    <t>تصميم وتنفيذ سياسات وإجراءات واضحة للإنابة تشمل تدريب البدلاء المعنيين وتحديد صلاحياتهم ومسؤولياتهم</t>
  </si>
  <si>
    <t>إغلاق GAP-B-22 | GAP-B-26</t>
  </si>
  <si>
    <t>تعزيز الحوكمة المؤسسية، تعزيز الكفاءة التشغيلية وكفاءة الانفاق</t>
  </si>
  <si>
    <t>GAP-B-22 | GAP-B-26</t>
  </si>
  <si>
    <t>تطوير نظام إدارة الإنابة | تأسيس وتنفيذ وتشغيل البنية المؤسسية في هيئة تقويم التعليم و التدريب</t>
  </si>
  <si>
    <t>إغلاق GAP-B-22</t>
  </si>
  <si>
    <t>تطوير نظام إدارة الإنابة</t>
  </si>
  <si>
    <t>BR10</t>
  </si>
  <si>
    <t>إعداد وتنفيذ سياسة موحدة لإدارة الأنظمة تضمن عدم تكرار الوظائف وتحقق التكامل بين الأنظمة</t>
  </si>
  <si>
    <t>إغلاق GAP-A-04 | GAP-A-05</t>
  </si>
  <si>
    <t>GAP-A-04 | GAP-A-05</t>
  </si>
  <si>
    <t>المنصة الرقمية لمؤسسات التعليم والتدريب | تأسيس وتنفيذ وتشغيل البنية المؤسسية في هيئة تقويم التعليم و التدريب</t>
  </si>
  <si>
    <t>BR11</t>
  </si>
  <si>
    <t>إجراء مراجعة شاملة لجميع الأنظمة الحالية لتحديد الوظائف المكررة وإعداد خطة لدمج الأنظمة ذات العلاقة</t>
  </si>
  <si>
    <t>إغلاق GAP-A-04</t>
  </si>
  <si>
    <t>BR12</t>
  </si>
  <si>
    <t>اعتماد مؤشرات أداء رئيسية (KPIs) لكل إجراء وخدمة تعكس مدى مساهمتها في تحقيق الأهداف الاستراتيجية</t>
  </si>
  <si>
    <t>إغلاق GAP-B-07 | GAP-B-18</t>
  </si>
  <si>
    <t>GAP-B-07 | GAP-B-18</t>
  </si>
  <si>
    <t>توريد وتركيب أدوات ذكاء الأعمال والتحليلات المتقدمة | توفير نظام مركزي لمتابعة الأداء وتحليل البيانات</t>
  </si>
  <si>
    <t>AR11</t>
  </si>
  <si>
    <t>تطوير نظام متكامل لقياس أداء الإجراءات وربطها بالأهداف الاستراتيجية للهيئة</t>
  </si>
  <si>
    <t>إغلاق GAP-B-18 | GAP-B-07</t>
  </si>
  <si>
    <t>GAP-B-18 | GAP-B-07</t>
  </si>
  <si>
    <t>BR13</t>
  </si>
  <si>
    <t>تطوير وإصدار دليل حوكمة الإجراءات ومصفوفة الصلاحيات واعتماد اتفاقيات مستوى العمليات (OLA) والخدمة (SLA) لضمان التنسيق الفعال</t>
  </si>
  <si>
    <t>إغلاق GAP-B-02 | GAP-B-29</t>
  </si>
  <si>
    <t>GAP-B-02 | GAP-B-29</t>
  </si>
  <si>
    <t>BR14</t>
  </si>
  <si>
    <t>إعداد وتنفيذ سياسة واضحة لتحديد أولويات العمل</t>
  </si>
  <si>
    <t>إغلاق GAP-B-28 | GAP-B-84</t>
  </si>
  <si>
    <t>تعزيز الحوكمة المؤسسية، دعم اتخاذ القرارات</t>
  </si>
  <si>
    <t>GAP-B-28 | GAP-B-84</t>
  </si>
  <si>
    <t>AR12</t>
  </si>
  <si>
    <t>تطوير نظام إدارة مهام يتضمن آلية لتحديد وترتيب الأولويات بشكل واضح</t>
  </si>
  <si>
    <t>إغلاق GAP-B-21 | GAP-B-28</t>
  </si>
  <si>
    <t>GAP-B-21 | GAP-B-28</t>
  </si>
  <si>
    <t>إغلاق GAP-B-07 | GAP-B-85</t>
  </si>
  <si>
    <t>GAP-B-07 | GAP-B-85</t>
  </si>
  <si>
    <t>AR13</t>
  </si>
  <si>
    <t>تطوير نظام لربط إدارة المهام مع إدارة الأداء لتمكين قياس أداء الموظف بشكل دقيق</t>
  </si>
  <si>
    <t>إغلاق GAP-B-63 | GAP-B-85</t>
  </si>
  <si>
    <t>GAP-B-63 | GAP-B-85</t>
  </si>
  <si>
    <t>إغلاق GAP-B-23 | GAP-B-86</t>
  </si>
  <si>
    <t>دعم تحسين تجربة المستفيد، تعزيز الكفاءة التشغيلية وكفاءة الانفاق</t>
  </si>
  <si>
    <t>GAP-B-23 | GAP-B-86</t>
  </si>
  <si>
    <t>AR14</t>
  </si>
  <si>
    <t>تطوير نظام موحد لاستقبال ومتابعة المقترحات والأفكار الإبداعية والشكاوى</t>
  </si>
  <si>
    <t>إغلاق GAP-B-23</t>
  </si>
  <si>
    <t>BR17</t>
  </si>
  <si>
    <t>تطوير وتطبيق استراتيجية إدارة التغيير  المؤسسية (Enterprise Change Management) لضمان إشراك الموظفين وفهم احتياجاتهم</t>
  </si>
  <si>
    <t>إغلاق GAP-B-15 | GAP-B-87</t>
  </si>
  <si>
    <t>GAP-B-15 | GAP-B-87</t>
  </si>
  <si>
    <t>BR18</t>
  </si>
  <si>
    <t>تطوير وتطبيق استراتيجية إدارة المخاطر المؤسسية (Enterprise Risk Management) لتحديد وتقييم وإدارة المخاطر المؤسسية بشكل فعال</t>
  </si>
  <si>
    <t>إغلاق GAP-B-06 | GAP-B-88</t>
  </si>
  <si>
    <t>GAP-B-06 | GAP-B-88</t>
  </si>
  <si>
    <t>AR15</t>
  </si>
  <si>
    <t>تطوير منصة موحدة شاملة لأعمال الهيئة تعزز من تكامل الخدمات الداخلية والخارجية</t>
  </si>
  <si>
    <t>إغلاق GAP-B-24 | GAP-A-05</t>
  </si>
  <si>
    <t>تمكين التحول الرقمي، دعم تحسين تجربة المستفيد</t>
  </si>
  <si>
    <t>GAP-B-24 | GAP-A-05</t>
  </si>
  <si>
    <t>AR16</t>
  </si>
  <si>
    <t>إنشاء بوابة داخلية موحدة للموظفين توفر الوصول إلى جميع المعلومات والخدمات والأنظمة المتعلقة بأعمال الهيئة (مع اعتبار سياسات النشر)</t>
  </si>
  <si>
    <t>إغلاق GAP-B-25 | GAP-A-05</t>
  </si>
  <si>
    <t>تمكين التحول الرقمي، تعزيز الكفاءة التشغيلية وكفاءة الانفاق</t>
  </si>
  <si>
    <t>GAP-B-25 | GAP-A-05</t>
  </si>
  <si>
    <t>المنصة الرقمية لمؤسسات التعليم والتدريب | مشروع دعم مايكروسوفت الموحد</t>
  </si>
  <si>
    <t>إغلاق GAP-B-06 | GAP-B-67</t>
  </si>
  <si>
    <t>GAP-B-06 | GAP-B-67</t>
  </si>
  <si>
    <t>إغلاق GAP-B-05 | GAP-A-01</t>
  </si>
  <si>
    <t>GAP-B-05 | GAP-A-01</t>
  </si>
  <si>
    <t>BR19</t>
  </si>
  <si>
    <t>تطوير وتعزيز وظيفة إدارة المعرفة في الهيئة لتشمل جميع الأقسام والإدارات</t>
  </si>
  <si>
    <t>إغلاق GAP-B-16 | GAP-B-89</t>
  </si>
  <si>
    <t>GAP-B-16 | GAP-B-89</t>
  </si>
  <si>
    <t>مشروع دعم مايكروسوفت الموحد | المنصة الرقمية لمؤسسات التعليم والتدريب</t>
  </si>
  <si>
    <t>AR19</t>
  </si>
  <si>
    <t>اعتماد أدوات وتقنيات متقدمة لإدارة المعرفة تتيح تخزين واسترجاع وتبادل المعرفة بفعالية</t>
  </si>
  <si>
    <t>إغلاق GAP-B-16</t>
  </si>
  <si>
    <t>BR20</t>
  </si>
  <si>
    <t>تطوير وتطبيق سياسات وإجراءات موحدة لإدارة المشاريع التقنية ومكتب إدارة المشاريع</t>
  </si>
  <si>
    <t>إغلاق GAP-B-10 | GAP-B-90</t>
  </si>
  <si>
    <t>GAP-B-10 | GAP-B-90</t>
  </si>
  <si>
    <t>AR20</t>
  </si>
  <si>
    <t>إنشاء نظام مركزي لإدارة المشاريع يتيح تعبئة النماذج مرة واحدة ومشاركتها عبر الإدارات</t>
  </si>
  <si>
    <t>إغلاق GAP-B-70 | GAP-B-90</t>
  </si>
  <si>
    <t>GAP-B-70 | GAP-B-90</t>
  </si>
  <si>
    <t>المجال</t>
  </si>
  <si>
    <t>المتطلبات المرتبطة (BR/AR/DR/TR)</t>
  </si>
  <si>
    <t>نسبة إغلاق الفجوة (محسوبة من المشاريع/المتطلبات)</t>
  </si>
  <si>
    <t>منهجية الحساب</t>
  </si>
  <si>
    <t>غياب الأتمتة لبعض الخدمات أو الإجراءات الأساسية والداعمة</t>
  </si>
  <si>
    <t>فجوات بنية الأعمال</t>
  </si>
  <si>
    <t>النظام الشامل للاختبارات | تطوير نظامي اختبارات الطوارئ والاختبارات المؤسسية</t>
  </si>
  <si>
    <t>ضعف في تطبيق اتفاقيات مستوى الخدمة أو التشغيل (SLA , OLA) على عدد معين من الخدمات سواء بشكل جزئي أو كلي</t>
  </si>
  <si>
    <t>الحاجة إلى تمكين / تفعيل خاصية الاعتماد الإلكتروني في عدد من الخدمات</t>
  </si>
  <si>
    <t>الحاجة إلى تمكين تتبع حالة الطلبات في بعض الخدمات و توحيد طريقة إرسال الإشعارات</t>
  </si>
  <si>
    <t>الحاجة إلى التكامل مع الأنظمة والمنصات الداخلية و الخارجية في عدد من الخدمات  أو الإجراءات</t>
  </si>
  <si>
    <t>AR18 | BR03 | BR04</t>
  </si>
  <si>
    <t>غياب عملية حوكمة متكاملة لإجراءات الأعمال بشكل فعال</t>
  </si>
  <si>
    <t>AR17 | BR01 | BR18</t>
  </si>
  <si>
    <t>الحاجة إلى تطوير وتحسين  مؤشرات قياس أداء لبعض الخدمات / الإجراءات</t>
  </si>
  <si>
    <t>AR11 | BR12 | BR15</t>
  </si>
  <si>
    <t>يوجد نماذج موحدة لتوثيق إجراءات العمل (أدلة الأعمال الإجرائية) ولكنها تحتاج إلى مراجعة وتحديث بانتظام لضمان توافقها مع التغيرات والاحتياجات الجديدة</t>
  </si>
  <si>
    <t>الحاجة إلى توفير (أدلة الخدمات، أدلة مرئية ) للمستفيدين  بشكل متكامل ومفصّل وموحد لعدد من الخدمات الخدمات</t>
  </si>
  <si>
    <t>الحاجة إلى توفير نماذج الحوكمة والقياس بشكل كامل</t>
  </si>
  <si>
    <t>ضرورة استكمال وتحسين بعض التقارير الإلكترونية الحالية التي تحتاج إلى استكمال وتحسين</t>
  </si>
  <si>
    <t>تنفذ بعض الأعمال حاليا باستخدام برمجيات لمعالجة البيانات</t>
  </si>
  <si>
    <t>ضرورة إعادة هندسة الإجراءات التي تحتاج إلى تحسين</t>
  </si>
  <si>
    <t>ضرورة تطوير وتنفيذ برامج تدريبية شاملة وفعالة للموظفين لتعزيز المهارات الرقمية كجزء من التحسين المستمر</t>
  </si>
  <si>
    <t>BR05 | BR06 | BR07</t>
  </si>
  <si>
    <t>تحقيق شهادات الجودة | تفعيل الابتكار الرقمي | مشروع دعم مايكروسوفت الموحد</t>
  </si>
  <si>
    <t>ضرورة تطوير وتطبيق نموذج متعدد القنوات لدمج جميع قنوات التواصل مع المستفيدين لتحقيق تجربة مستفيدين سلسة</t>
  </si>
  <si>
    <t>BR01 | BR17</t>
  </si>
  <si>
    <t>الاعتماد على التواصل اليدوي والتصعيد اليدوي</t>
  </si>
  <si>
    <t>AR19 | BR19</t>
  </si>
  <si>
    <t>الحاجة إلى تحسين تجربة المستفيد ورحلاته المختلفة</t>
  </si>
  <si>
    <t>AR01 | BR03 | BR04</t>
  </si>
  <si>
    <t>الحاجة إلى توفير وتنفيذ بعض الأنظمة والأدوات التي تدعم وظائف وعمليات وحدات الأعمال</t>
  </si>
  <si>
    <t>AR02 | AR11 | BR12</t>
  </si>
  <si>
    <t>العمل على تصميم وتنفيذ سياسات وإجراءات جديدة تدعم أعمال الجهة</t>
  </si>
  <si>
    <t>تأسيس وتنفيذ وتشغيل البنية المؤسسية في هيئة تقويم التعليم و التدريب | تفعيل الابتكار الرقمي</t>
  </si>
  <si>
    <t>الحاجة إلى الأتمتة الرقمية لعمليات ووظائف الأعمال الخاصة باستقبال ومتابعة المقترحات والأفكار الإبداعية والشكاوى من خلال توفير  نظام موحد</t>
  </si>
  <si>
    <t>AR09 | BR04</t>
  </si>
  <si>
    <t>المساعد الرقمي للعناية بالمستفيدين | المنصة الرقمية لمؤسسات التعليم والتدريب | توفير أداة لإنشاء الاستبيانات والتقييم جاهزة للتطبيق</t>
  </si>
  <si>
    <t>العمل على الأتمتة الرقمية الشاملة لأعمال الهيئة من خلال تطوير منصة موحدة شاملة</t>
  </si>
  <si>
    <t>ضرورة الأتمتة الرقمية لعمليات الموظفين من خلال إنشاء بوابة داخلية موحدة للموظفين</t>
  </si>
  <si>
    <t>AR10 | BR09</t>
  </si>
  <si>
    <t>الحاجة إلى تطوير وتطبيق استراتيجيتي إدارة التغيير  المؤسسية و إدارة المخاطر المؤسسية</t>
  </si>
  <si>
    <t>AR14 | BR16</t>
  </si>
  <si>
    <t>الحاجة إلى أتمتة أعمال ووظائف إدارة المشاريع وإدارة الأداء من خلال إنشاء نظام مركزي</t>
  </si>
  <si>
    <t>الحاجة إلى أتمتة أعمال الجودة والتدقيق المؤسسي</t>
  </si>
  <si>
    <t>ضرورة تطوير وتعزيز وظيفة إدارة المعرفة</t>
  </si>
  <si>
    <t>ضرورة تطبيق تقنية  (OCR)</t>
  </si>
  <si>
    <t>ضرورة التحسين المستمر للحقائب التدريبية و تمتين برنامج إعداد المدربين</t>
  </si>
  <si>
    <t>AR12 | BR14</t>
  </si>
  <si>
    <t>تأسيس وتنفيذ وتشغيل البنية المؤسسية في هيئة تقويم التعليم و التدريب | منصة ديجيتال اكس</t>
  </si>
  <si>
    <t>ضرورة إضافة ميزة وخيارات طرق الدفع الإضافية</t>
  </si>
  <si>
    <t>ضرورة إضافة إدارة الاعتمادات الدولية في الهيكل التنظيمي</t>
  </si>
  <si>
    <t>ضرورة تحسين  وتحديث المسميات الوظيفية</t>
  </si>
  <si>
    <t>غياب الدليل الموحد للبيانات</t>
  </si>
  <si>
    <t>فجوات بنية البيانات</t>
  </si>
  <si>
    <t>نقص جزئي في سياسات حوكمة البيانات</t>
  </si>
  <si>
    <t>عدم توثيق خطط التعافي من الكوارث لخزائن البيانات الحيوية</t>
  </si>
  <si>
    <t>تناثر قواعد البيانات</t>
  </si>
  <si>
    <t>توفر منصة دمج بيانات جزئية لا تغطي كافة كيانات البيانات</t>
  </si>
  <si>
    <t>وجود معايير جودة بيانات مفعلة جزئيًا دون تطبيق شامل على جميع كيانات البيانات</t>
  </si>
  <si>
    <t>ضعف توثيق البيانات المفتوحة</t>
  </si>
  <si>
    <t>عدم وجود نظام موحّد لإدارة البيانات الوصفية Metadata</t>
  </si>
  <si>
    <t>انعدام اتفاقية مستوى الخدمة (SLA) لخدمات البيانات</t>
  </si>
  <si>
    <t>نقص في سياسات الأرشفة طويلة الأجل</t>
  </si>
  <si>
    <t>ضعف تحديد الأدوار الخاصة بأمناء البيانات</t>
  </si>
  <si>
    <t>تطبيقات الذكاء الاصطناعي | توريد وتركيب أدوات ذكاء الأعمال والتحليلات المتقدمة</t>
  </si>
  <si>
    <t>فجوة إنشاء كيانات بيانات جديدة لسد احتياجات أتمتة الأعمال والخدمات</t>
  </si>
  <si>
    <t>عدم استخدام نظام ECM والاكتفاء بحفظ الملفات على شبكة الهيئة</t>
  </si>
  <si>
    <t>توفر قدرات الذكاء الاصطناعي وتعلم الآلة دون تفعيل شامل على مستوى الهيئة.</t>
  </si>
  <si>
    <t>عدم وجود إجراءات موحّدة لتحديد البيانات الرئيسية والمرجعية</t>
  </si>
  <si>
    <t>غياب تقنيات تصنيف البيانات المتقدم</t>
  </si>
  <si>
    <t>الحاجة إلى توظيف التقنيات الناشئة لتلبية احتياجات المستفيدين بشكل استباقي</t>
  </si>
  <si>
    <t>عدم الإسراع في تنفيذ نظام منع تسرب البيانات DLP</t>
  </si>
  <si>
    <t>توثيق جزئي لهياكل البيانات ونمذجتها.</t>
  </si>
  <si>
    <t>ضعف المنصّة المتاحة للمستخدمين لاستخراج التقارير والتحليلات</t>
  </si>
  <si>
    <t>غياب مستودع أو دليل مركزي شامل (قاموس بيانات) عن جميع عناصر البيانات المستخدمة</t>
  </si>
  <si>
    <t>عدم اعتماد تصنيف واضح للبيانات (مرجعية، وصفية، أساسية)</t>
  </si>
  <si>
    <t>نقص التقييم المستمر لجودة البيانات (التكرار، الإكمال، التكامل) وتعيين مسؤول مختص</t>
  </si>
  <si>
    <t>استمرار وجود قواعد بيانات غير مستخدمة وعدم أرشفتها</t>
  </si>
  <si>
    <t>غياب مؤشرات أداء نمذجة البيانات (قياس فعالية النماذج وجودتها)</t>
  </si>
  <si>
    <t>عدم تحديث وتوثيق كيانات البيانات المفتوحة بانتظام</t>
  </si>
  <si>
    <t>ضعف التدريب والتوعية بإدارة البيانات وحوكمتها</t>
  </si>
  <si>
    <t>غياب النموذج المفاهيمي المؤسسي للبيانات بسبب ضعف توثيق العلاقات بين كيانات البيانات وخزائنها.</t>
  </si>
  <si>
    <t>فجوات بنية التطبيقات</t>
  </si>
  <si>
    <t>عدم استثمار كامل للإمكانات السحابية وعناصر البنية التحتية الحديثة Microservices، الحاويات Containers .</t>
  </si>
  <si>
    <t>BR10 | BR11</t>
  </si>
  <si>
    <t>تطبيقات عديمة الاستخدام أو غير فعالة تشكِّل عبئًا تقنيًا وتشغيليًا</t>
  </si>
  <si>
    <t>AR01 | AR15 | AR16 | BR10</t>
  </si>
  <si>
    <t>المنصة الرقمية لمؤسسات التعليم والتدريب | تأسيس وتنفيذ وتشغيل البنية المؤسسية في هيئة تقويم التعليم و التدريب | مشروع دعم مايكروسوفت الموحد</t>
  </si>
  <si>
    <t>تعدد أدوات الإدارة والمراقبة SolarWinds، AppDynamics، Site24x7  دون توحيد رؤية التحليل والحوكمة</t>
  </si>
  <si>
    <t>قصور في المصادقة الموحدة، تشفير محدود، تباين في إدارة الحقوق والصلاحيات</t>
  </si>
  <si>
    <t>عدم وجود تقسيم واضح للأدوار والمسؤوليات</t>
  </si>
  <si>
    <t>فجوات بنية التقنية والأمن السيبراني</t>
  </si>
  <si>
    <t>غياب برامج تدريبية دورية للموظفين</t>
  </si>
  <si>
    <t>عدم وجود تكامل مع مركز الأمن السيبراني (SOC)</t>
  </si>
  <si>
    <t>غياب أدوات  اخذ القرار تلقاءيا بعد تحليل حركة المرور واكتشاف الأنماط المشبوهة</t>
  </si>
  <si>
    <t>عدم توفر إجراءات واضحة لاستجابة الحوادث الأمنية وعمل سيناريو لعمليات الانقطاع بصورة دورية و موثقة</t>
  </si>
  <si>
    <t>عدم وجود مستودع معرفة لتوثيق حلول المشاكل الشائعة</t>
  </si>
  <si>
    <t>نقص الأدوات التلقائية لمراقبة اختناقات الأداء على مستوي ال LAN  ولكن يتوافر thousand eyes على مستوي ال WAN</t>
  </si>
  <si>
    <t>نقص الأدوات المخصصة لتحليل وتحسين الامتثال لاتفاقيات SLAs</t>
  </si>
  <si>
    <t>تنوع أنظمة التشغيل</t>
  </si>
  <si>
    <t>تفاوت في مواصفات الأجهزة</t>
  </si>
  <si>
    <t>الربط الشبكي لمقرات الاختبارات المحوسبة | حل تحسين أداء شبكة WAN</t>
  </si>
  <si>
    <t>وجود أنظمة منتهية الدعم او على وشك الانتهاء</t>
  </si>
  <si>
    <t>توريد وتركيب أجهزة التخزين لمركز البيانات | نظام النسخ الاحتياطي وحفظ البيانات</t>
  </si>
  <si>
    <t>عدم التوثيق الكامل لبعض الخوادم</t>
  </si>
  <si>
    <t>تطبيقات الذكاء الاصطناعي | توريد وتركيب أدوات ذكاء الأعمال والتحليلات المتقدمة | مشروع تشغيل وصيانة البنية التقنية والبيانات وتطبيق الذكاء</t>
  </si>
  <si>
    <t>عدم دورة حياة واضحة للخوادم واستراتيجية لإعادة التدوير أو التحديث المستمر</t>
  </si>
  <si>
    <t>الربط الشبكي لمقرات الاختبارات المحوسبة | توريد وتركيب أجهزة حفظ الطاقة بمقرات الاختبارات المحوسبة وتقديم الدعم الفني | حل تحسين أداء شبكة WAN</t>
  </si>
  <si>
    <t>تكرار الخوادم على نفس السحابة مما يحقق توافرية في حالة عمل السحابة ولا توجد هذه الخوادم على سحابة أخرى</t>
  </si>
  <si>
    <t>لا يوجد استخدام تقنية الحاويات Containers</t>
  </si>
  <si>
    <t>عدم وجود أتمتة متكاملة عبر SDN للتحكم الذكي في الشبكة</t>
  </si>
  <si>
    <t>عدم استخدام تقنيات SOAR (تنسيق الأمان والتشغيل الآلي والاستجابة) داخل SOC.</t>
  </si>
  <si>
    <t>وجود بعض مراكز البيانات لا تدعم المرافق الأساسية</t>
  </si>
  <si>
    <t>عدم توفر خدمة نشر وإدارة التكوين التلقائي Automation مما يؤدي إلى تباطؤ عمليات النشر</t>
  </si>
  <si>
    <t>اسم المشروع</t>
  </si>
  <si>
    <t>نسبة إنجاز المشروع (من المشاريع)</t>
  </si>
  <si>
    <t>نسبة إغلاق المتطلب (من سجل المتطلبات)</t>
  </si>
  <si>
    <t>حالة التنفيذ (من المشاريع)</t>
  </si>
  <si>
    <t>GAP-B-75</t>
  </si>
  <si>
    <t>GAP-B-89</t>
  </si>
  <si>
    <t>GAP-B-77</t>
  </si>
  <si>
    <t>GAP-B-78</t>
  </si>
  <si>
    <t>GAP-B-86</t>
  </si>
  <si>
    <t>GAP-B-67</t>
  </si>
  <si>
    <t>GAP-B-87</t>
  </si>
  <si>
    <t>GAP-B-88</t>
  </si>
  <si>
    <t>GAP-B-63</t>
  </si>
  <si>
    <t>GAP-B-70</t>
  </si>
  <si>
    <t>GAP-B-85</t>
  </si>
  <si>
    <t>GAP-B-90</t>
  </si>
  <si>
    <t>GAP-B-84</t>
  </si>
  <si>
    <t xml:space="preserve">حالة إغلاق المتطلب </t>
  </si>
  <si>
    <t xml:space="preserve"> الفجوات المرتبطة (GAP-*)</t>
  </si>
  <si>
    <t>المنصة الرقمية لمؤسسات التعليم والتدريب | تشغيل وصيانة نظم البيانات والتكامل وذكاء الأعمال لمنافسة مشروع تشغيل وصيانة البنية التقنية والبيانات وتطبيق الذكاء</t>
  </si>
  <si>
    <t>الخدمات الاستشارية المدارة لتعزيز إدارة دورة حياة البرمجيات | المساعد الرقمي للعناية بالمستفيدين | المنصة الرقمية لمؤسسات التعليم والتدريب | تطوير تطبيق ومنصة مستقبلهم</t>
  </si>
  <si>
    <t>المساعد الرقمي للعناية بالمستفيدين | المنصة الرقمية لمؤسسات التعليم والتدريب | تطوير تطبيق ومنصة مستقبلهم | مشروع دعم مايكروسوفت الموحد</t>
  </si>
  <si>
    <t>تشغيل وصيانة نظم البيانات والتكامل وذكاء الأعمال لمنافسة مشروع تشغيل وصيانة البنية التقنية والبيانات وتطبيق الذكاء | توريد وتركيب أدوات ذكاء الأعمال والتحليلات المتقدمة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</si>
</sst>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name val="Calibri"/>
    </font>
    <font>
      <b/>
      <sz val="12"/>
      <name val="Calibri"/>
    </font>
    <font>
      <b/>
      <sz val="12"/>
      <color rgb="FFFFFFFF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2F5597"/>
      </patternFill>
    </fill>
    <fill>
      <patternFill patternType="solid">
        <fgColor rgb="FF30549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2"/>
  </cellStyleXfs>
  <cellXfs count="24">
    <xf numFmtId="0" fontId="0" fillId="0" borderId="0" xfId="0" applyBorder="1"/>
    <xf numFmtId="0" fontId="0" fillId="0" borderId="2" xfId="0" applyAlignment="1">
      <alignment horizontal="righ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4" fontId="0" fillId="0" borderId="0" xfId="0" applyNumberFormat="1" applyBorder="1"/>
    <xf numFmtId="9" fontId="0" fillId="0" borderId="0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4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right" vertical="top" wrapText="1"/>
    </xf>
    <xf numFmtId="10" fontId="7" fillId="0" borderId="3" xfId="0" applyNumberFormat="1" applyFont="1" applyBorder="1" applyAlignment="1">
      <alignment horizontal="right" vertical="top" wrapText="1"/>
    </xf>
    <xf numFmtId="165" fontId="0" fillId="0" borderId="0" xfId="0" applyNumberFormat="1" applyBorder="1"/>
    <xf numFmtId="0" fontId="1" fillId="7" borderId="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0" fillId="0" borderId="4" xfId="0" applyBorder="1"/>
    <xf numFmtId="165" fontId="5" fillId="5" borderId="3" xfId="0" applyNumberFormat="1" applyFont="1" applyFill="1" applyBorder="1" applyAlignment="1">
      <alignment horizontal="center" vertical="center"/>
    </xf>
    <xf numFmtId="0" fontId="6" fillId="6" borderId="2" xfId="0" applyFont="1" applyFill="1" applyAlignment="1">
      <alignment horizontal="center" vertical="center"/>
    </xf>
    <xf numFmtId="0" fontId="0" fillId="0" borderId="0" xfId="0" applyBorder="1"/>
    <xf numFmtId="0" fontId="4" fillId="4" borderId="3" xfId="0" applyFont="1" applyFill="1" applyBorder="1" applyAlignment="1">
      <alignment horizontal="center" vertical="center"/>
    </xf>
    <xf numFmtId="0" fontId="3" fillId="2" borderId="2" xfId="0" applyFont="1" applyFill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rightToLeft="1" workbookViewId="0">
      <selection activeCell="D16" sqref="D16"/>
    </sheetView>
  </sheetViews>
  <sheetFormatPr defaultRowHeight="14.4" x14ac:dyDescent="0.3"/>
  <cols>
    <col min="1" max="1" width="4" customWidth="1"/>
    <col min="2" max="2" width="52" customWidth="1"/>
    <col min="3" max="4" width="14" customWidth="1"/>
    <col min="5" max="6" width="10" customWidth="1"/>
    <col min="7" max="7" width="12" customWidth="1"/>
    <col min="8" max="9" width="28" customWidth="1"/>
  </cols>
  <sheetData>
    <row r="1" spans="1:8" ht="28.05" customHeight="1" x14ac:dyDescent="0.3">
      <c r="A1" s="23" t="s">
        <v>0</v>
      </c>
      <c r="B1" s="21"/>
      <c r="C1" s="21"/>
      <c r="D1" s="21"/>
      <c r="E1" s="21"/>
      <c r="F1" s="21"/>
      <c r="G1" s="21"/>
      <c r="H1" s="21"/>
    </row>
    <row r="3" spans="1:8" ht="18" customHeight="1" x14ac:dyDescent="0.3">
      <c r="A3" s="22" t="s">
        <v>1</v>
      </c>
      <c r="B3" s="18"/>
      <c r="C3" s="22" t="s">
        <v>2</v>
      </c>
      <c r="D3" s="18"/>
      <c r="E3" s="22" t="s">
        <v>3</v>
      </c>
      <c r="F3" s="18"/>
      <c r="G3" s="22" t="s">
        <v>4</v>
      </c>
      <c r="H3" s="18"/>
    </row>
    <row r="4" spans="1:8" ht="22.05" customHeight="1" x14ac:dyDescent="0.3">
      <c r="A4" s="17">
        <f>COUNTIF('متابعة المشاريع'!$A$2:$A$1003,"&lt;&gt;")</f>
        <v>68</v>
      </c>
      <c r="B4" s="18"/>
      <c r="C4" s="17">
        <f>COUNTIF('متابعة المشاريع'!$E$2:$E$1003,"متأخر")+COUNTIF('متابعة المشاريع'!$E$2:$E$1003,"متأخر جدا")</f>
        <v>2</v>
      </c>
      <c r="D4" s="18"/>
      <c r="E4" s="19">
        <f>IFERROR(AVERAGEIF('متابعة المتطلبات'!$A$2:$A$47,"&lt;&gt;",'متابعة المتطلبات'!$K$2:$K$47),0)</f>
        <v>0.3525336956521738</v>
      </c>
      <c r="F4" s="18"/>
      <c r="G4" s="19">
        <f>IFERROR(AVERAGEIF(الفجوات!$A$2:$A$93,"&lt;&gt;",الفجوات!$F$2:$F$93),0)</f>
        <v>0.20742500000000003</v>
      </c>
      <c r="H4" s="18"/>
    </row>
    <row r="6" spans="1:8" ht="19.95" customHeight="1" x14ac:dyDescent="0.3">
      <c r="A6" s="20" t="s">
        <v>5</v>
      </c>
      <c r="B6" s="21"/>
      <c r="C6" s="21"/>
      <c r="D6" s="21"/>
      <c r="E6" s="21"/>
      <c r="F6" s="21"/>
      <c r="G6" s="21"/>
      <c r="H6" s="21"/>
    </row>
    <row r="7" spans="1:8" ht="36" customHeight="1" x14ac:dyDescent="0.3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6" t="s">
        <v>13</v>
      </c>
    </row>
    <row r="8" spans="1:8" ht="42" customHeight="1" x14ac:dyDescent="0.3">
      <c r="A8" s="11">
        <v>1</v>
      </c>
      <c r="B8" s="12" t="s">
        <v>14</v>
      </c>
      <c r="C8" s="12" t="s">
        <v>15</v>
      </c>
      <c r="D8" s="13">
        <f>IF($B8="","",IFERROR(VLOOKUP($B8,الفجوات!$A$2:$F$93,6,FALSE),0))</f>
        <v>0</v>
      </c>
      <c r="E8" s="12">
        <f>IF($B8="","",COUNTIF(Link_Project_Gap!$B$2:$B$112,$B8))</f>
        <v>1</v>
      </c>
      <c r="F8" s="12">
        <f>IF($B8="","",COUNTIFS(Link_Project_Gap!$B$2:$B$112,$B8,Link_Project_Gap!$D$2:$D$112,"متأخر")+COUNTIFS(Link_Project_Gap!$B$2:$B$112,$B8,Link_Project_Gap!$D$2:$D$112,"متأخر جدا"))</f>
        <v>0</v>
      </c>
      <c r="G8" s="12" t="str">
        <f>IF($B8="","",IF(COUNTIFS(Link_Project_Gap!$B$2:$B$112,$B8,Link_Project_Gap!$D$2:$D$112,"متأخر جدا")&gt;0,"متأخر جدا",IF(COUNTIFS(Link_Project_Gap!$B$2:$B$112,$B8,Link_Project_Gap!$D$2:$D$112,"متأخر")&gt;0,"متأخر","غير متأخر")))</f>
        <v>غير متأخر</v>
      </c>
      <c r="H8" s="12" t="str">
        <f>IF($B8="","",IFERROR(VLOOKUP($B8,الفجوات!$A$2:$E$93,5,FALSE),""))</f>
        <v>الخدمات الاستشارية المدارة لتعزيز إدارة دورة حياة البرمجيات</v>
      </c>
    </row>
    <row r="9" spans="1:8" ht="42" customHeight="1" x14ac:dyDescent="0.3">
      <c r="A9" s="11">
        <v>2</v>
      </c>
      <c r="B9" s="12" t="s">
        <v>16</v>
      </c>
      <c r="C9" s="12" t="s">
        <v>17</v>
      </c>
      <c r="D9" s="13">
        <f>IF($B9="","",IFERROR(VLOOKUP($B9,الفجوات!$A$2:$F$93,6,FALSE),0))</f>
        <v>0</v>
      </c>
      <c r="E9" s="12">
        <f>IF($B9="","",COUNTIF(Link_Project_Gap!$B$2:$B$112,$B9))</f>
        <v>1</v>
      </c>
      <c r="F9" s="12">
        <f>IF($B9="","",COUNTIFS(Link_Project_Gap!$B$2:$B$112,$B9,Link_Project_Gap!$D$2:$D$112,"متأخر")+COUNTIFS(Link_Project_Gap!$B$2:$B$112,$B9,Link_Project_Gap!$D$2:$D$112,"متأخر جدا"))</f>
        <v>0</v>
      </c>
      <c r="G9" s="12" t="str">
        <f>IF($B9="","",IF(COUNTIFS(Link_Project_Gap!$B$2:$B$112,$B9,Link_Project_Gap!$D$2:$D$112,"متأخر جدا")&gt;0,"متأخر جدا",IF(COUNTIFS(Link_Project_Gap!$B$2:$B$112,$B9,Link_Project_Gap!$D$2:$D$112,"متأخر")&gt;0,"متأخر","غير متأخر")))</f>
        <v>غير متأخر</v>
      </c>
      <c r="H9" s="12" t="str">
        <f>IF($B9="","",IFERROR(VLOOKUP($B9,الفجوات!$A$2:$E$93,5,FALSE),""))</f>
        <v>رفع مستوى نضج تطبيق ممارسات إدارة البيانات</v>
      </c>
    </row>
    <row r="10" spans="1:8" ht="42" customHeight="1" x14ac:dyDescent="0.3">
      <c r="A10" s="11">
        <v>3</v>
      </c>
      <c r="B10" s="12" t="s">
        <v>18</v>
      </c>
      <c r="C10" s="12" t="s">
        <v>19</v>
      </c>
      <c r="D10" s="13">
        <f>IF($B10="","",IFERROR(VLOOKUP($B10,الفجوات!$A$2:$F$93,6,FALSE),0))</f>
        <v>0</v>
      </c>
      <c r="E10" s="12">
        <f>IF($B10="","",COUNTIF(Link_Project_Gap!$B$2:$B$112,$B10))</f>
        <v>1</v>
      </c>
      <c r="F10" s="12">
        <f>IF($B10="","",COUNTIFS(Link_Project_Gap!$B$2:$B$112,$B10,Link_Project_Gap!$D$2:$D$112,"متأخر")+COUNTIFS(Link_Project_Gap!$B$2:$B$112,$B10,Link_Project_Gap!$D$2:$D$112,"متأخر جدا"))</f>
        <v>0</v>
      </c>
      <c r="G10" s="12" t="str">
        <f>IF($B10="","",IF(COUNTIFS(Link_Project_Gap!$B$2:$B$112,$B10,Link_Project_Gap!$D$2:$D$112,"متأخر جدا")&gt;0,"متأخر جدا",IF(COUNTIFS(Link_Project_Gap!$B$2:$B$112,$B10,Link_Project_Gap!$D$2:$D$112,"متأخر")&gt;0,"متأخر","غير متأخر")))</f>
        <v>غير متأخر</v>
      </c>
      <c r="H10" s="12" t="str">
        <f>IF($B10="","",IFERROR(VLOOKUP($B10,الفجوات!$A$2:$E$93,5,FALSE),""))</f>
        <v>رفع مستوى نضج تطبيق ممارسات إدارة البيانات</v>
      </c>
    </row>
    <row r="11" spans="1:8" ht="42" customHeight="1" x14ac:dyDescent="0.3">
      <c r="A11" s="11">
        <v>4</v>
      </c>
      <c r="B11" s="12" t="s">
        <v>20</v>
      </c>
      <c r="C11" s="12" t="s">
        <v>21</v>
      </c>
      <c r="D11" s="13">
        <f>IF($B11="","",IFERROR(VLOOKUP($B11,الفجوات!$A$2:$F$93,6,FALSE),0))</f>
        <v>0</v>
      </c>
      <c r="E11" s="12">
        <f>IF($B11="","",COUNTIF(Link_Project_Gap!$B$2:$B$112,$B11))</f>
        <v>1</v>
      </c>
      <c r="F11" s="12">
        <f>IF($B11="","",COUNTIFS(Link_Project_Gap!$B$2:$B$112,$B11,Link_Project_Gap!$D$2:$D$112,"متأخر")+COUNTIFS(Link_Project_Gap!$B$2:$B$112,$B11,Link_Project_Gap!$D$2:$D$112,"متأخر جدا"))</f>
        <v>0</v>
      </c>
      <c r="G11" s="12" t="str">
        <f>IF($B11="","",IF(COUNTIFS(Link_Project_Gap!$B$2:$B$112,$B11,Link_Project_Gap!$D$2:$D$112,"متأخر جدا")&gt;0,"متأخر جدا",IF(COUNTIFS(Link_Project_Gap!$B$2:$B$112,$B11,Link_Project_Gap!$D$2:$D$112,"متأخر")&gt;0,"متأخر","غير متأخر")))</f>
        <v>غير متأخر</v>
      </c>
      <c r="H11" s="12" t="str">
        <f>IF($B11="","",IFERROR(VLOOKUP($B11,الفجوات!$A$2:$E$93,5,FALSE),""))</f>
        <v>رفع مستوى نضج تطبيق ممارسات إدارة البيانات</v>
      </c>
    </row>
    <row r="12" spans="1:8" ht="42" customHeight="1" x14ac:dyDescent="0.3">
      <c r="A12" s="11">
        <v>5</v>
      </c>
      <c r="B12" s="12" t="s">
        <v>22</v>
      </c>
      <c r="C12" s="12" t="s">
        <v>23</v>
      </c>
      <c r="D12" s="13">
        <f>IF($B12="","",IFERROR(VLOOKUP($B12,الفجوات!$A$2:$F$93,6,FALSE),0))</f>
        <v>0</v>
      </c>
      <c r="E12" s="12">
        <f>IF($B12="","",COUNTIF(Link_Project_Gap!$B$2:$B$112,$B12))</f>
        <v>1</v>
      </c>
      <c r="F12" s="12">
        <f>IF($B12="","",COUNTIFS(Link_Project_Gap!$B$2:$B$112,$B12,Link_Project_Gap!$D$2:$D$112,"متأخر")+COUNTIFS(Link_Project_Gap!$B$2:$B$112,$B12,Link_Project_Gap!$D$2:$D$112,"متأخر جدا"))</f>
        <v>0</v>
      </c>
      <c r="G12" s="12" t="str">
        <f>IF($B12="","",IF(COUNTIFS(Link_Project_Gap!$B$2:$B$112,$B12,Link_Project_Gap!$D$2:$D$112,"متأخر جدا")&gt;0,"متأخر جدا",IF(COUNTIFS(Link_Project_Gap!$B$2:$B$112,$B12,Link_Project_Gap!$D$2:$D$112,"متأخر")&gt;0,"متأخر","غير متأخر")))</f>
        <v>غير متأخر</v>
      </c>
      <c r="H12" s="12" t="str">
        <f>IF($B12="","",IFERROR(VLOOKUP($B12,الفجوات!$A$2:$E$93,5,FALSE),""))</f>
        <v>رفع مستوى نضج تطبيق ممارسات إدارة البيانات</v>
      </c>
    </row>
    <row r="13" spans="1:8" ht="42" customHeight="1" x14ac:dyDescent="0.3">
      <c r="A13" s="11">
        <v>6</v>
      </c>
      <c r="B13" s="12" t="s">
        <v>24</v>
      </c>
      <c r="C13" s="12" t="s">
        <v>25</v>
      </c>
      <c r="D13" s="13">
        <f>IF($B13="","",IFERROR(VLOOKUP($B13,الفجوات!$A$2:$F$93,6,FALSE),0))</f>
        <v>0</v>
      </c>
      <c r="E13" s="12">
        <f>IF($B13="","",COUNTIF(Link_Project_Gap!$B$2:$B$112,$B13))</f>
        <v>0</v>
      </c>
      <c r="F13" s="12">
        <f>IF($B13="","",COUNTIFS(Link_Project_Gap!$B$2:$B$112,$B13,Link_Project_Gap!$D$2:$D$112,"متأخر")+COUNTIFS(Link_Project_Gap!$B$2:$B$112,$B13,Link_Project_Gap!$D$2:$D$112,"متأخر جدا"))</f>
        <v>0</v>
      </c>
      <c r="G13" s="12" t="str">
        <f>IF($B13="","",IF(COUNTIFS(Link_Project_Gap!$B$2:$B$112,$B13,Link_Project_Gap!$D$2:$D$112,"متأخر جدا")&gt;0,"متأخر جدا",IF(COUNTIFS(Link_Project_Gap!$B$2:$B$112,$B13,Link_Project_Gap!$D$2:$D$112,"متأخر")&gt;0,"متأخر","غير متأخر")))</f>
        <v>غير متأخر</v>
      </c>
      <c r="H13" s="12">
        <f>IF($B13="","",IFERROR(VLOOKUP($B13,الفجوات!$A$2:$E$93,5,FALSE),""))</f>
        <v>0</v>
      </c>
    </row>
    <row r="14" spans="1:8" ht="42" customHeight="1" x14ac:dyDescent="0.3">
      <c r="A14" s="11">
        <v>7</v>
      </c>
      <c r="B14" s="12" t="s">
        <v>26</v>
      </c>
      <c r="C14" s="12" t="s">
        <v>27</v>
      </c>
      <c r="D14" s="13">
        <f>IF($B14="","",IFERROR(VLOOKUP($B14,الفجوات!$A$2:$F$93,6,FALSE),0))</f>
        <v>0</v>
      </c>
      <c r="E14" s="12">
        <f>IF($B14="","",COUNTIF(Link_Project_Gap!$B$2:$B$112,$B14))</f>
        <v>0</v>
      </c>
      <c r="F14" s="12">
        <f>IF($B14="","",COUNTIFS(Link_Project_Gap!$B$2:$B$112,$B14,Link_Project_Gap!$D$2:$D$112,"متأخر")+COUNTIFS(Link_Project_Gap!$B$2:$B$112,$B14,Link_Project_Gap!$D$2:$D$112,"متأخر جدا"))</f>
        <v>0</v>
      </c>
      <c r="G14" s="12" t="str">
        <f>IF($B14="","",IF(COUNTIFS(Link_Project_Gap!$B$2:$B$112,$B14,Link_Project_Gap!$D$2:$D$112,"متأخر جدا")&gt;0,"متأخر جدا",IF(COUNTIFS(Link_Project_Gap!$B$2:$B$112,$B14,Link_Project_Gap!$D$2:$D$112,"متأخر")&gt;0,"متأخر","غير متأخر")))</f>
        <v>غير متأخر</v>
      </c>
      <c r="H14" s="12">
        <f>IF($B14="","",IFERROR(VLOOKUP($B14,الفجوات!$A$2:$E$93,5,FALSE),""))</f>
        <v>0</v>
      </c>
    </row>
    <row r="15" spans="1:8" ht="42" customHeight="1" x14ac:dyDescent="0.3">
      <c r="A15" s="11">
        <v>8</v>
      </c>
      <c r="B15" s="12" t="s">
        <v>28</v>
      </c>
      <c r="C15" s="12" t="s">
        <v>29</v>
      </c>
      <c r="D15" s="13">
        <f>IF($B15="","",IFERROR(VLOOKUP($B15,الفجوات!$A$2:$F$93,6,FALSE),0))</f>
        <v>0</v>
      </c>
      <c r="E15" s="12">
        <f>IF($B15="","",COUNTIF(Link_Project_Gap!$B$2:$B$112,$B15))</f>
        <v>0</v>
      </c>
      <c r="F15" s="12">
        <f>IF($B15="","",COUNTIFS(Link_Project_Gap!$B$2:$B$112,$B15,Link_Project_Gap!$D$2:$D$112,"متأخر")+COUNTIFS(Link_Project_Gap!$B$2:$B$112,$B15,Link_Project_Gap!$D$2:$D$112,"متأخر جدا"))</f>
        <v>0</v>
      </c>
      <c r="G15" s="12" t="str">
        <f>IF($B15="","",IF(COUNTIFS(Link_Project_Gap!$B$2:$B$112,$B15,Link_Project_Gap!$D$2:$D$112,"متأخر جدا")&gt;0,"متأخر جدا",IF(COUNTIFS(Link_Project_Gap!$B$2:$B$112,$B15,Link_Project_Gap!$D$2:$D$112,"متأخر")&gt;0,"متأخر","غير متأخر")))</f>
        <v>غير متأخر</v>
      </c>
      <c r="H15" s="12">
        <f>IF($B15="","",IFERROR(VLOOKUP($B15,الفجوات!$A$2:$E$93,5,FALSE),""))</f>
        <v>0</v>
      </c>
    </row>
    <row r="16" spans="1:8" ht="42" customHeight="1" x14ac:dyDescent="0.3">
      <c r="A16" s="11">
        <v>9</v>
      </c>
      <c r="B16" s="12" t="s">
        <v>30</v>
      </c>
      <c r="C16" s="12" t="s">
        <v>31</v>
      </c>
      <c r="D16" s="13">
        <f>IF($B16="","",IFERROR(VLOOKUP($B16,الفجوات!$A$2:$F$93,6,FALSE),0))</f>
        <v>0</v>
      </c>
      <c r="E16" s="12">
        <f>IF($B16="","",COUNTIF(Link_Project_Gap!$B$2:$B$112,$B16))</f>
        <v>0</v>
      </c>
      <c r="F16" s="12">
        <f>IF($B16="","",COUNTIFS(Link_Project_Gap!$B$2:$B$112,$B16,Link_Project_Gap!$D$2:$D$112,"متأخر")+COUNTIFS(Link_Project_Gap!$B$2:$B$112,$B16,Link_Project_Gap!$D$2:$D$112,"متأخر جدا"))</f>
        <v>0</v>
      </c>
      <c r="G16" s="12" t="str">
        <f>IF($B16="","",IF(COUNTIFS(Link_Project_Gap!$B$2:$B$112,$B16,Link_Project_Gap!$D$2:$D$112,"متأخر جدا")&gt;0,"متأخر جدا",IF(COUNTIFS(Link_Project_Gap!$B$2:$B$112,$B16,Link_Project_Gap!$D$2:$D$112,"متأخر")&gt;0,"متأخر","غير متأخر")))</f>
        <v>غير متأخر</v>
      </c>
      <c r="H16" s="12">
        <f>IF($B16="","",IFERROR(VLOOKUP($B16,الفجوات!$A$2:$E$93,5,FALSE),""))</f>
        <v>0</v>
      </c>
    </row>
    <row r="17" spans="1:9" ht="42" customHeight="1" x14ac:dyDescent="0.3">
      <c r="A17" s="11">
        <v>10</v>
      </c>
      <c r="B17" s="12" t="s">
        <v>32</v>
      </c>
      <c r="C17" s="12" t="s">
        <v>33</v>
      </c>
      <c r="D17" s="13">
        <f>IF($B17="","",IFERROR(VLOOKUP($B17,الفجوات!$A$2:$F$93,6,FALSE),0))</f>
        <v>0</v>
      </c>
      <c r="E17" s="12">
        <f>IF($B17="","",COUNTIF(Link_Project_Gap!$B$2:$B$112,$B17))</f>
        <v>0</v>
      </c>
      <c r="F17" s="12">
        <f>IF($B17="","",COUNTIFS(Link_Project_Gap!$B$2:$B$112,$B17,Link_Project_Gap!$D$2:$D$112,"متأخر")+COUNTIFS(Link_Project_Gap!$B$2:$B$112,$B17,Link_Project_Gap!$D$2:$D$112,"متأخر جدا"))</f>
        <v>0</v>
      </c>
      <c r="G17" s="12" t="str">
        <f>IF($B17="","",IF(COUNTIFS(Link_Project_Gap!$B$2:$B$112,$B17,Link_Project_Gap!$D$2:$D$112,"متأخر جدا")&gt;0,"متأخر جدا",IF(COUNTIFS(Link_Project_Gap!$B$2:$B$112,$B17,Link_Project_Gap!$D$2:$D$112,"متأخر")&gt;0,"متأخر","غير متأخر")))</f>
        <v>غير متأخر</v>
      </c>
      <c r="H17" s="12">
        <f>IF($B17="","",IFERROR(VLOOKUP($B17,الفجوات!$A$2:$E$93,5,FALSE),""))</f>
        <v>0</v>
      </c>
    </row>
    <row r="19" spans="1:9" ht="19.95" customHeight="1" x14ac:dyDescent="0.3">
      <c r="A19" s="20" t="s">
        <v>34</v>
      </c>
      <c r="B19" s="21"/>
      <c r="C19" s="21"/>
      <c r="D19" s="21"/>
      <c r="E19" s="21"/>
      <c r="F19" s="21"/>
      <c r="G19" s="21"/>
      <c r="H19" s="21"/>
    </row>
    <row r="20" spans="1:9" ht="36" customHeight="1" x14ac:dyDescent="0.3">
      <c r="A20" s="10" t="s">
        <v>6</v>
      </c>
      <c r="B20" s="10" t="s">
        <v>35</v>
      </c>
      <c r="C20" s="10" t="s">
        <v>36</v>
      </c>
      <c r="D20" s="10" t="s">
        <v>9</v>
      </c>
      <c r="E20" s="10" t="s">
        <v>10</v>
      </c>
      <c r="F20" s="10" t="s">
        <v>11</v>
      </c>
      <c r="G20" s="10" t="s">
        <v>12</v>
      </c>
      <c r="H20" s="10" t="s">
        <v>37</v>
      </c>
    </row>
    <row r="21" spans="1:9" ht="42" customHeight="1" x14ac:dyDescent="0.3">
      <c r="A21" s="11">
        <v>1</v>
      </c>
      <c r="B21" s="12" t="s">
        <v>38</v>
      </c>
      <c r="C21" s="12" t="s">
        <v>39</v>
      </c>
      <c r="D21" s="13">
        <f>IF($B21="","",IFERROR(VLOOKUP($B21,'متابعة المتطلبات'!$A$2:$K$47,11,FALSE),0))</f>
        <v>0</v>
      </c>
      <c r="E21" s="12">
        <f>IF($B21="","",COUNTIF(Link_Project_Req!$B$2:$B$68,$B21))</f>
        <v>2</v>
      </c>
      <c r="F21" s="12">
        <f>IF($B21="","",COUNTIFS(Link_Project_Req!$B$2:$B$68,$B21,Link_Project_Req!$E$2:$E$68,"متأخر")+COUNTIFS(Link_Project_Req!$B$2:$B$68,$B21,Link_Project_Req!$E$2:$E$68,"متأخر جدا"))</f>
        <v>0</v>
      </c>
      <c r="G21" s="12" t="str">
        <f>IF($B21="","",IF(COUNTIFS(Link_Project_Req!$B$2:$B$68,$B21,Link_Project_Req!$E$2:$E$68,"متأخر جدا")&gt;0,"متأخر جدا",IF(COUNTIFS(Link_Project_Req!$B$2:$B$68,$B21,Link_Project_Req!$E$2:$E$68,"متأخر")&gt;0,"متأخر","غير متأخر")))</f>
        <v>غير متأخر</v>
      </c>
      <c r="H21" s="12" t="str">
        <f>IF($B21="","",IFERROR(VLOOKUP($B21,'متابعة المتطلبات'!$A$2:$J$47,10,FALSE),""))</f>
        <v>تفعيل الابتكار الرقمي | تحقيق شهادات الجودة</v>
      </c>
    </row>
    <row r="22" spans="1:9" ht="42" customHeight="1" x14ac:dyDescent="0.3">
      <c r="A22" s="11">
        <v>2</v>
      </c>
      <c r="B22" s="12" t="s">
        <v>40</v>
      </c>
      <c r="C22" s="12" t="s">
        <v>41</v>
      </c>
      <c r="D22" s="13">
        <f>IF($B22="","",IFERROR(VLOOKUP($B22,'متابعة المتطلبات'!$A$2:$K$47,11,FALSE),0))</f>
        <v>0</v>
      </c>
      <c r="E22" s="12">
        <f>IF($B22="","",COUNTIF(Link_Project_Req!$B$2:$B$68,$B22))</f>
        <v>1</v>
      </c>
      <c r="F22" s="12">
        <f>IF($B22="","",COUNTIFS(Link_Project_Req!$B$2:$B$68,$B22,Link_Project_Req!$E$2:$E$68,"متأخر")+COUNTIFS(Link_Project_Req!$B$2:$B$68,$B22,Link_Project_Req!$E$2:$E$68,"متأخر جدا"))</f>
        <v>0</v>
      </c>
      <c r="G22" s="12" t="str">
        <f>IF($B22="","",IF(COUNTIFS(Link_Project_Req!$B$2:$B$68,$B22,Link_Project_Req!$E$2:$E$68,"متأخر جدا")&gt;0,"متأخر جدا",IF(COUNTIFS(Link_Project_Req!$B$2:$B$68,$B22,Link_Project_Req!$E$2:$E$68,"متأخر")&gt;0,"متأخر","غير متأخر")))</f>
        <v>غير متأخر</v>
      </c>
      <c r="H22" s="12" t="str">
        <f>IF($B22="","",IFERROR(VLOOKUP($B22,'متابعة المتطلبات'!$A$2:$J$47,10,FALSE),""))</f>
        <v>رفع مستوى نضج تطبيق ممارسات إدارة البيانات</v>
      </c>
    </row>
    <row r="23" spans="1:9" ht="42" customHeight="1" x14ac:dyDescent="0.3">
      <c r="A23" s="11">
        <v>3</v>
      </c>
      <c r="B23" s="12" t="s">
        <v>42</v>
      </c>
      <c r="C23" s="12" t="s">
        <v>43</v>
      </c>
      <c r="D23" s="13">
        <f>IF($B23="","",IFERROR(VLOOKUP($B23,'متابعة المتطلبات'!$A$2:$K$47,11,FALSE),0))</f>
        <v>0</v>
      </c>
      <c r="E23" s="12">
        <f>IF($B23="","",COUNTIF(Link_Project_Req!$B$2:$B$68,$B23))</f>
        <v>0</v>
      </c>
      <c r="F23" s="12">
        <f>IF($B23="","",COUNTIFS(Link_Project_Req!$B$2:$B$68,$B23,Link_Project_Req!$E$2:$E$68,"متأخر")+COUNTIFS(Link_Project_Req!$B$2:$B$68,$B23,Link_Project_Req!$E$2:$E$68,"متأخر جدا"))</f>
        <v>0</v>
      </c>
      <c r="G23" s="12" t="str">
        <f>IF($B23="","",IF(COUNTIFS(Link_Project_Req!$B$2:$B$68,$B23,Link_Project_Req!$E$2:$E$68,"متأخر جدا")&gt;0,"متأخر جدا",IF(COUNTIFS(Link_Project_Req!$B$2:$B$68,$B23,Link_Project_Req!$E$2:$E$68,"متأخر")&gt;0,"متأخر","غير متأخر")))</f>
        <v>غير متأخر</v>
      </c>
      <c r="H23" s="12" t="str">
        <f>IF($B23="","",IFERROR(VLOOKUP($B23,'متابعة المتطلبات'!$A$2:$J$47,10,FALSE),""))</f>
        <v>تطوير نظام إدارة الإنابة</v>
      </c>
    </row>
    <row r="24" spans="1:9" ht="42" customHeight="1" x14ac:dyDescent="0.3">
      <c r="A24" s="11">
        <v>4</v>
      </c>
      <c r="B24" s="12" t="s">
        <v>44</v>
      </c>
      <c r="C24" s="12" t="s">
        <v>45</v>
      </c>
      <c r="D24" s="13">
        <f>IF($B24="","",IFERROR(VLOOKUP($B24,'متابعة المتطلبات'!$A$2:$K$47,11,FALSE),0))</f>
        <v>0</v>
      </c>
      <c r="E24" s="12">
        <f>IF($B24="","",COUNTIF(Link_Project_Req!$B$2:$B$68,$B24))</f>
        <v>1</v>
      </c>
      <c r="F24" s="12">
        <f>IF($B24="","",COUNTIFS(Link_Project_Req!$B$2:$B$68,$B24,Link_Project_Req!$E$2:$E$68,"متأخر")+COUNTIFS(Link_Project_Req!$B$2:$B$68,$B24,Link_Project_Req!$E$2:$E$68,"متأخر جدا"))</f>
        <v>0</v>
      </c>
      <c r="G24" s="12" t="str">
        <f>IF($B24="","",IF(COUNTIFS(Link_Project_Req!$B$2:$B$68,$B24,Link_Project_Req!$E$2:$E$68,"متأخر جدا")&gt;0,"متأخر جدا",IF(COUNTIFS(Link_Project_Req!$B$2:$B$68,$B24,Link_Project_Req!$E$2:$E$68,"متأخر")&gt;0,"متأخر","غير متأخر")))</f>
        <v>غير متأخر</v>
      </c>
      <c r="H24" s="12" t="str">
        <f>IF($B24="","",IFERROR(VLOOKUP($B24,'متابعة المتطلبات'!$A$2:$J$47,10,FALSE),""))</f>
        <v>تحقيق شهادات الجودة</v>
      </c>
    </row>
    <row r="25" spans="1:9" ht="42" customHeight="1" x14ac:dyDescent="0.3">
      <c r="A25" s="11">
        <v>5</v>
      </c>
      <c r="B25" s="12" t="s">
        <v>46</v>
      </c>
      <c r="C25" s="12" t="s">
        <v>47</v>
      </c>
      <c r="D25" s="13">
        <f>IF($B25="","",IFERROR(VLOOKUP($B25,'متابعة المتطلبات'!$A$2:$K$47,11,FALSE),0))</f>
        <v>0</v>
      </c>
      <c r="E25" s="12">
        <f>IF($B25="","",COUNTIF(Link_Project_Req!$B$2:$B$68,$B25))</f>
        <v>1</v>
      </c>
      <c r="F25" s="12">
        <f>IF($B25="","",COUNTIFS(Link_Project_Req!$B$2:$B$68,$B25,Link_Project_Req!$E$2:$E$68,"متأخر")+COUNTIFS(Link_Project_Req!$B$2:$B$68,$B25,Link_Project_Req!$E$2:$E$68,"متأخر جدا"))</f>
        <v>0</v>
      </c>
      <c r="G25" s="12" t="str">
        <f>IF($B25="","",IF(COUNTIFS(Link_Project_Req!$B$2:$B$68,$B25,Link_Project_Req!$E$2:$E$68,"متأخر جدا")&gt;0,"متأخر جدا",IF(COUNTIFS(Link_Project_Req!$B$2:$B$68,$B25,Link_Project_Req!$E$2:$E$68,"متأخر")&gt;0,"متأخر","غير متأخر")))</f>
        <v>غير متأخر</v>
      </c>
      <c r="H25" s="12" t="str">
        <f>IF($B25="","",IFERROR(VLOOKUP($B25,'متابعة المتطلبات'!$A$2:$J$47,10,FALSE),""))</f>
        <v>الخدمات الاستشارية المدارة لتعزيز إدارة دورة حياة البرمجيات</v>
      </c>
    </row>
    <row r="26" spans="1:9" ht="42" customHeight="1" x14ac:dyDescent="0.3">
      <c r="A26" s="11">
        <v>6</v>
      </c>
      <c r="B26" s="12" t="s">
        <v>48</v>
      </c>
      <c r="C26" s="12" t="s">
        <v>49</v>
      </c>
      <c r="D26" s="13">
        <f>IF($B26="","",IFERROR(VLOOKUP($B26,'متابعة المتطلبات'!$A$2:$K$47,11,FALSE),0))</f>
        <v>0</v>
      </c>
      <c r="E26" s="12">
        <f>IF($B26="","",COUNTIF(Link_Project_Req!$B$2:$B$68,$B26))</f>
        <v>0</v>
      </c>
      <c r="F26" s="12">
        <f>IF($B26="","",COUNTIFS(Link_Project_Req!$B$2:$B$68,$B26,Link_Project_Req!$E$2:$E$68,"متأخر")+COUNTIFS(Link_Project_Req!$B$2:$B$68,$B26,Link_Project_Req!$E$2:$E$68,"متأخر جدا"))</f>
        <v>0</v>
      </c>
      <c r="G26" s="12" t="str">
        <f>IF($B26="","",IF(COUNTIFS(Link_Project_Req!$B$2:$B$68,$B26,Link_Project_Req!$E$2:$E$68,"متأخر جدا")&gt;0,"متأخر جدا",IF(COUNTIFS(Link_Project_Req!$B$2:$B$68,$B26,Link_Project_Req!$E$2:$E$68,"متأخر")&gt;0,"متأخر","غير متأخر")))</f>
        <v>غير متأخر</v>
      </c>
      <c r="H26" s="12" t="str">
        <f>IF($B26="","",IFERROR(VLOOKUP($B26,'متابعة المتطلبات'!$A$2:$J$47,10,FALSE),""))</f>
        <v>توفير نظام مركزي لمتابعة الأداء وتحليل البيانات</v>
      </c>
    </row>
    <row r="27" spans="1:9" ht="42" customHeight="1" x14ac:dyDescent="0.3">
      <c r="A27" s="11">
        <v>7</v>
      </c>
      <c r="B27" s="12" t="s">
        <v>50</v>
      </c>
      <c r="C27" s="12" t="s">
        <v>51</v>
      </c>
      <c r="D27" s="13">
        <f>IF($B27="","",IFERROR(VLOOKUP($B27,'متابعة المتطلبات'!$A$2:$K$47,11,FALSE),0))</f>
        <v>0</v>
      </c>
      <c r="E27" s="12">
        <f>IF($B27="","",COUNTIF(Link_Project_Req!$B$2:$B$68,$B27))</f>
        <v>1</v>
      </c>
      <c r="F27" s="12">
        <f>IF($B27="","",COUNTIFS(Link_Project_Req!$B$2:$B$68,$B27,Link_Project_Req!$E$2:$E$68,"متأخر")+COUNTIFS(Link_Project_Req!$B$2:$B$68,$B27,Link_Project_Req!$E$2:$E$68,"متأخر جدا"))</f>
        <v>0</v>
      </c>
      <c r="G27" s="12" t="str">
        <f>IF($B27="","",IF(COUNTIFS(Link_Project_Req!$B$2:$B$68,$B27,Link_Project_Req!$E$2:$E$68,"متأخر جدا")&gt;0,"متأخر جدا",IF(COUNTIFS(Link_Project_Req!$B$2:$B$68,$B27,Link_Project_Req!$E$2:$E$68,"متأخر")&gt;0,"متأخر","غير متأخر")))</f>
        <v>غير متأخر</v>
      </c>
      <c r="H27" s="12" t="str">
        <f>IF($B27="","",IFERROR(VLOOKUP($B27,'متابعة المتطلبات'!$A$2:$J$47,10,FALSE),""))</f>
        <v>رفع مستوى نضج تطبيق ممارسات إدارة البيانات</v>
      </c>
    </row>
    <row r="28" spans="1:9" ht="42" customHeight="1" x14ac:dyDescent="0.3">
      <c r="A28" s="11">
        <v>8</v>
      </c>
      <c r="B28" s="12" t="s">
        <v>52</v>
      </c>
      <c r="C28" s="12" t="s">
        <v>53</v>
      </c>
      <c r="D28" s="13">
        <f>IF($B28="","",IFERROR(VLOOKUP($B28,'متابعة المتطلبات'!$A$2:$K$47,11,FALSE),0))</f>
        <v>0.1</v>
      </c>
      <c r="E28" s="12">
        <f>IF($B28="","",COUNTIF(Link_Project_Req!$B$2:$B$68,$B28))</f>
        <v>2</v>
      </c>
      <c r="F28" s="12">
        <f>IF($B28="","",COUNTIFS(Link_Project_Req!$B$2:$B$68,$B28,Link_Project_Req!$E$2:$E$68,"متأخر")+COUNTIFS(Link_Project_Req!$B$2:$B$68,$B28,Link_Project_Req!$E$2:$E$68,"متأخر جدا"))</f>
        <v>0</v>
      </c>
      <c r="G28" s="12" t="str">
        <f>IF($B28="","",IF(COUNTIFS(Link_Project_Req!$B$2:$B$68,$B28,Link_Project_Req!$E$2:$E$68,"متأخر جدا")&gt;0,"متأخر جدا",IF(COUNTIFS(Link_Project_Req!$B$2:$B$68,$B28,Link_Project_Req!$E$2:$E$68,"متأخر")&gt;0,"متأخر","غير متأخر")))</f>
        <v>غير متأخر</v>
      </c>
      <c r="H28" s="12" t="str">
        <f>IF($B28="","",IFERROR(VLOOKUP($B28,'متابعة المتطلبات'!$A$2:$J$47,10,FALSE),""))</f>
        <v>المساعد الرقمي للعناية بالمستفيدين | المنصة الرقمية لمؤسسات التعليم والتدريب</v>
      </c>
    </row>
    <row r="29" spans="1:9" ht="42" customHeight="1" x14ac:dyDescent="0.3">
      <c r="A29" s="11">
        <v>9</v>
      </c>
      <c r="B29" s="12" t="s">
        <v>54</v>
      </c>
      <c r="C29" s="12" t="s">
        <v>55</v>
      </c>
      <c r="D29" s="13">
        <f>IF($B29="","",IFERROR(VLOOKUP($B29,'متابعة المتطلبات'!$A$2:$K$47,11,FALSE),0))</f>
        <v>0.1</v>
      </c>
      <c r="E29" s="12">
        <f>IF($B29="","",COUNTIF(Link_Project_Req!$B$2:$B$68,$B29))</f>
        <v>2</v>
      </c>
      <c r="F29" s="12">
        <f>IF($B29="","",COUNTIFS(Link_Project_Req!$B$2:$B$68,$B29,Link_Project_Req!$E$2:$E$68,"متأخر")+COUNTIFS(Link_Project_Req!$B$2:$B$68,$B29,Link_Project_Req!$E$2:$E$68,"متأخر جدا"))</f>
        <v>0</v>
      </c>
      <c r="G29" s="12" t="str">
        <f>IF($B29="","",IF(COUNTIFS(Link_Project_Req!$B$2:$B$68,$B29,Link_Project_Req!$E$2:$E$68,"متأخر جدا")&gt;0,"متأخر جدا",IF(COUNTIFS(Link_Project_Req!$B$2:$B$68,$B29,Link_Project_Req!$E$2:$E$68,"متأخر")&gt;0,"متأخر","غير متأخر")))</f>
        <v>غير متأخر</v>
      </c>
      <c r="H29" s="12" t="str">
        <f>IF($B29="","",IFERROR(VLOOKUP($B29,'متابعة المتطلبات'!$A$2:$J$47,10,FALSE),""))</f>
        <v>المساعد الرقمي للعناية بالمستفيدين | المنصة الرقمية لمؤسسات التعليم والتدريب</v>
      </c>
    </row>
    <row r="30" spans="1:9" ht="42" customHeight="1" x14ac:dyDescent="0.3">
      <c r="A30" s="11">
        <v>10</v>
      </c>
      <c r="B30" s="12" t="s">
        <v>56</v>
      </c>
      <c r="C30" s="12" t="s">
        <v>57</v>
      </c>
      <c r="D30" s="13">
        <f>IF($B30="","",IFERROR(VLOOKUP($B30,'متابعة المتطلبات'!$A$2:$K$47,11,FALSE),0))</f>
        <v>0.125</v>
      </c>
      <c r="E30" s="12">
        <f>IF($B30="","",COUNTIF(Link_Project_Req!$B$2:$B$68,$B30))</f>
        <v>2</v>
      </c>
      <c r="F30" s="12">
        <f>IF($B30="","",COUNTIFS(Link_Project_Req!$B$2:$B$68,$B30,Link_Project_Req!$E$2:$E$68,"متأخر")+COUNTIFS(Link_Project_Req!$B$2:$B$68,$B30,Link_Project_Req!$E$2:$E$68,"متأخر جدا"))</f>
        <v>0</v>
      </c>
      <c r="G30" s="12" t="str">
        <f>IF($B30="","",IF(COUNTIFS(Link_Project_Req!$B$2:$B$68,$B30,Link_Project_Req!$E$2:$E$68,"متأخر جدا")&gt;0,"متأخر جدا",IF(COUNTIFS(Link_Project_Req!$B$2:$B$68,$B30,Link_Project_Req!$E$2:$E$68,"متأخر")&gt;0,"متأخر","غير متأخر")))</f>
        <v>غير متأخر</v>
      </c>
      <c r="H30" s="12" t="str">
        <f>IF($B30="","",IFERROR(VLOOKUP($B30,'متابعة المتطلبات'!$A$2:$J$47,10,FALSE),""))</f>
        <v>المساعد الرقمي للعناية بالمستفيدين | توفير أداة لإنشاء الاستبيانات والتقييم جاهزة للتطبيق</v>
      </c>
    </row>
    <row r="32" spans="1:9" ht="19.95" customHeight="1" x14ac:dyDescent="0.3">
      <c r="A32" s="20" t="s">
        <v>58</v>
      </c>
      <c r="B32" s="21"/>
      <c r="C32" s="21"/>
      <c r="D32" s="21"/>
      <c r="E32" s="21"/>
      <c r="F32" s="21"/>
      <c r="G32" s="21"/>
      <c r="H32" s="21"/>
      <c r="I32" s="21"/>
    </row>
    <row r="33" spans="1:9" ht="36" customHeight="1" x14ac:dyDescent="0.3">
      <c r="A33" s="10" t="s">
        <v>6</v>
      </c>
      <c r="B33" s="16" t="s">
        <v>59</v>
      </c>
      <c r="C33" s="10" t="s">
        <v>60</v>
      </c>
      <c r="D33" s="10" t="s">
        <v>61</v>
      </c>
      <c r="E33" s="10" t="s">
        <v>62</v>
      </c>
      <c r="F33" s="10" t="s">
        <v>63</v>
      </c>
      <c r="G33" s="10" t="s">
        <v>64</v>
      </c>
      <c r="H33" s="10" t="s">
        <v>65</v>
      </c>
      <c r="I33" s="10" t="s">
        <v>66</v>
      </c>
    </row>
    <row r="34" spans="1:9" ht="42" customHeight="1" x14ac:dyDescent="0.3">
      <c r="A34" s="11">
        <v>1</v>
      </c>
      <c r="B34" s="12" t="s">
        <v>67</v>
      </c>
      <c r="C34" s="12" t="str">
        <f>IF($B34="","",IFERROR(VLOOKUP($B34,'متابعة المشاريع'!$A$2:$E$1003,5,FALSE),""))</f>
        <v>قيد التنفيذ</v>
      </c>
      <c r="D34" s="13">
        <f>IF($B34="","",IFERROR(VLOOKUP($B34,'متابعة المشاريع'!$A$2:$F$1003,6,FALSE),0))</f>
        <v>0.75</v>
      </c>
      <c r="E34" s="12">
        <f>IF($B34="","",IFERROR(VLOOKUP($B34,'متابعة المشاريع'!$A$2:$L$1003,12,FALSE),0))</f>
        <v>17</v>
      </c>
      <c r="F34" s="12">
        <f>IF($B34="","",IFERROR(VLOOKUP($B34,'متابعة المشاريع'!$A$2:$K$1003,11,FALSE),0))</f>
        <v>10</v>
      </c>
      <c r="G34" s="12">
        <f t="shared" ref="G34:G48" si="0">IF($B34="","",$E34+$F34)</f>
        <v>27</v>
      </c>
      <c r="H34" s="12" t="str">
        <f>IF($B34="","",IFERROR(VLOOKUP($B34,'متابعة المشاريع'!$A$2:$C$1003,3,FALSE),""))</f>
        <v>GAP-A-04 | GAP-A-05 | GAP-B-02 | GAP-B-06 | GAP-B-10 | GAP-B-13 | GAP-B-15 | GAP-B-19 | GAP-B-22 | GAP-B-26 | GAP-B-28 | GAP-B-29 | GAP-B-78 | GAP-B-84 | GAP-B-87 | GAP-B-88 | GAP-B-90</v>
      </c>
      <c r="I34" s="12" t="str">
        <f>IF($B34="","",IFERROR(VLOOKUP($B34,'متابعة المشاريع'!$A$2:$D$1003,4,FALSE),""))</f>
        <v>BR01 | BR08 | BR09 | BR10 | BR11 | BR13 | BR14 | BR17 | BR18 | BR20</v>
      </c>
    </row>
    <row r="35" spans="1:9" ht="42" customHeight="1" x14ac:dyDescent="0.3">
      <c r="A35" s="11">
        <v>2</v>
      </c>
      <c r="B35" s="12" t="s">
        <v>68</v>
      </c>
      <c r="C35" s="12" t="str">
        <f>IF($B35="","",IFERROR(VLOOKUP($B35,'متابعة المشاريع'!$A$2:$E$1003,5,FALSE),""))</f>
        <v>حسب المخطط</v>
      </c>
      <c r="D35" s="13">
        <f>IF($B35="","",IFERROR(VLOOKUP($B35,'متابعة المشاريع'!$A$2:$F$1003,6,FALSE),0))</f>
        <v>0.2</v>
      </c>
      <c r="E35" s="12">
        <f>IF($B35="","",IFERROR(VLOOKUP($B35,'متابعة المشاريع'!$A$2:$L$1003,12,FALSE),0))</f>
        <v>15</v>
      </c>
      <c r="F35" s="12">
        <f>IF($B35="","",IFERROR(VLOOKUP($B35,'متابعة المشاريع'!$A$2:$K$1003,11,FALSE),0))</f>
        <v>9</v>
      </c>
      <c r="G35" s="12">
        <f t="shared" si="0"/>
        <v>24</v>
      </c>
      <c r="H35" s="12" t="str">
        <f>IF($B35="","",IFERROR(VLOOKUP($B35,'متابعة المشاريع'!$A$2:$C$1003,3,FALSE),""))</f>
        <v>GAP-A-04 | GAP-A-05 | GAP-B-04 | GAP-B-05 | GAP-B-16 | GAP-B-17 | GAP-B-20 | GAP-B-23 | GAP-B-24 | GAP-B-25 | GAP-B-86 | GAP-B-89 | GAP-D-10 | GAP-D-11 | GAP-D-31</v>
      </c>
      <c r="I35" s="12" t="str">
        <f>IF($B35="","",IFERROR(VLOOKUP($B35,'متابعة المشاريع'!$A$2:$D$1003,4,FALSE),""))</f>
        <v>AR06 | AR14 | AR15 | AR16 | BR03 | BR04 | BR10 | BR16 | BR19</v>
      </c>
    </row>
    <row r="36" spans="1:9" ht="42" customHeight="1" x14ac:dyDescent="0.3">
      <c r="A36" s="11">
        <v>3</v>
      </c>
      <c r="B36" s="12" t="s">
        <v>69</v>
      </c>
      <c r="C36" s="12" t="str">
        <f>IF($B36="","",IFERROR(VLOOKUP($B36,'متابعة المشاريع'!$A$2:$E$1003,5,FALSE),""))</f>
        <v>لم يبدأ</v>
      </c>
      <c r="D36" s="13">
        <f>IF($B36="","",IFERROR(VLOOKUP($B36,'متابعة المشاريع'!$A$2:$F$1003,6,FALSE),0))</f>
        <v>0</v>
      </c>
      <c r="E36" s="12">
        <f>IF($B36="","",IFERROR(VLOOKUP($B36,'متابعة المشاريع'!$A$2:$L$1003,12,FALSE),0))</f>
        <v>11</v>
      </c>
      <c r="F36" s="12">
        <f>IF($B36="","",IFERROR(VLOOKUP($B36,'متابعة المشاريع'!$A$2:$K$1003,11,FALSE),0))</f>
        <v>8</v>
      </c>
      <c r="G36" s="12">
        <f t="shared" si="0"/>
        <v>19</v>
      </c>
      <c r="H36" s="12" t="str">
        <f>IF($B36="","",IFERROR(VLOOKUP($B36,'متابعة المشاريع'!$A$2:$C$1003,3,FALSE),""))</f>
        <v>GAP-B-02 | GAP-B-06 | GAP-B-13 | GAP-B-14 | GAP-B-15 | GAP-B-29 | GAP-B-67 | GAP-B-75 | GAP-B-77 | GAP-B-87 | GAP-B-88</v>
      </c>
      <c r="I36" s="12" t="str">
        <f>IF($B36="","",IFERROR(VLOOKUP($B36,'متابعة المشاريع'!$A$2:$D$1003,4,FALSE),""))</f>
        <v>AR17 | BR01 | BR05 | BR06 | BR07 | BR13 | BR17 | BR18</v>
      </c>
    </row>
    <row r="37" spans="1:9" ht="42" customHeight="1" x14ac:dyDescent="0.3">
      <c r="A37" s="11">
        <v>4</v>
      </c>
      <c r="B37" s="12" t="s">
        <v>70</v>
      </c>
      <c r="C37" s="12" t="str">
        <f>IF($B37="","",IFERROR(VLOOKUP($B37,'متابعة المشاريع'!$A$2:$E$1003,5,FALSE),""))</f>
        <v>قيد التنفيذ</v>
      </c>
      <c r="D37" s="13">
        <f>IF($B37="","",IFERROR(VLOOKUP($B37,'متابعة المشاريع'!$A$2:$F$1003,6,FALSE),0))</f>
        <v>0.7</v>
      </c>
      <c r="E37" s="12">
        <f>IF($B37="","",IFERROR(VLOOKUP($B37,'متابعة المشاريع'!$A$2:$L$1003,12,FALSE),0))</f>
        <v>7</v>
      </c>
      <c r="F37" s="12">
        <f>IF($B37="","",IFERROR(VLOOKUP($B37,'متابعة المشاريع'!$A$2:$K$1003,11,FALSE),0))</f>
        <v>6</v>
      </c>
      <c r="G37" s="12">
        <f t="shared" si="0"/>
        <v>13</v>
      </c>
      <c r="H37" s="12" t="str">
        <f>IF($B37="","",IFERROR(VLOOKUP($B37,'متابعة المشاريع'!$A$2:$C$1003,3,FALSE),""))</f>
        <v>GAP-A-05 | GAP-B-14 | GAP-B-16 | GAP-B-17 | GAP-B-25 | GAP-B-75 | GAP-B-89</v>
      </c>
      <c r="I37" s="12" t="str">
        <f>IF($B37="","",IFERROR(VLOOKUP($B37,'متابعة المشاريع'!$A$2:$D$1003,4,FALSE),""))</f>
        <v>AR01 | AR16 | AR19 | BR05 | BR06 | BR19</v>
      </c>
    </row>
    <row r="38" spans="1:9" ht="42" customHeight="1" x14ac:dyDescent="0.3">
      <c r="A38" s="11">
        <v>5</v>
      </c>
      <c r="B38" s="12" t="s">
        <v>71</v>
      </c>
      <c r="C38" s="12" t="str">
        <f>IF($B38="","",IFERROR(VLOOKUP($B38,'متابعة المشاريع'!$A$2:$E$1003,5,FALSE),""))</f>
        <v>لم يبدأ</v>
      </c>
      <c r="D38" s="13">
        <f>IF($B38="","",IFERROR(VLOOKUP($B38,'متابعة المشاريع'!$A$2:$F$1003,6,FALSE),0))</f>
        <v>0</v>
      </c>
      <c r="E38" s="12">
        <f>IF($B38="","",IFERROR(VLOOKUP($B38,'متابعة المشاريع'!$A$2:$L$1003,12,FALSE),0))</f>
        <v>7</v>
      </c>
      <c r="F38" s="12">
        <f>IF($B38="","",IFERROR(VLOOKUP($B38,'متابعة المشاريع'!$A$2:$K$1003,11,FALSE),0))</f>
        <v>3</v>
      </c>
      <c r="G38" s="12">
        <f t="shared" si="0"/>
        <v>10</v>
      </c>
      <c r="H38" s="12" t="str">
        <f>IF($B38="","",IFERROR(VLOOKUP($B38,'متابعة المشاريع'!$A$2:$C$1003,3,FALSE),""))</f>
        <v>GAP-B-04 | GAP-B-05 | GAP-B-17 | GAP-B-20 | GAP-B-23 | GAP-B-86 | GAP-D-14</v>
      </c>
      <c r="I38" s="12" t="str">
        <f>IF($B38="","",IFERROR(VLOOKUP($B38,'متابعة المشاريع'!$A$2:$D$1003,4,FALSE),""))</f>
        <v>AR09 | BR04 | BR16</v>
      </c>
    </row>
    <row r="39" spans="1:9" ht="42" customHeight="1" x14ac:dyDescent="0.3">
      <c r="A39" s="11">
        <v>6</v>
      </c>
      <c r="B39" s="12" t="s">
        <v>72</v>
      </c>
      <c r="C39" s="12" t="str">
        <f>IF($B39="","",IFERROR(VLOOKUP($B39,'متابعة المشاريع'!$A$2:$E$1003,5,FALSE),""))</f>
        <v>قيد التنفيذ</v>
      </c>
      <c r="D39" s="13">
        <f>IF($B39="","",IFERROR(VLOOKUP($B39,'متابعة المشاريع'!$A$2:$F$1003,6,FALSE),0))</f>
        <v>0.45</v>
      </c>
      <c r="E39" s="12">
        <f>IF($B39="","",IFERROR(VLOOKUP($B39,'متابعة المشاريع'!$A$2:$L$1003,12,FALSE),0))</f>
        <v>6</v>
      </c>
      <c r="F39" s="12">
        <f>IF($B39="","",IFERROR(VLOOKUP($B39,'متابعة المشاريع'!$A$2:$K$1003,11,FALSE),0))</f>
        <v>3</v>
      </c>
      <c r="G39" s="12">
        <f t="shared" si="0"/>
        <v>9</v>
      </c>
      <c r="H39" s="12" t="str">
        <f>IF($B39="","",IFERROR(VLOOKUP($B39,'متابعة المشاريع'!$A$2:$C$1003,3,FALSE),""))</f>
        <v>GAP-B-21 | GAP-B-28 | GAP-B-63 | GAP-B-70 | GAP-B-85 | GAP-B-90</v>
      </c>
      <c r="I39" s="12" t="str">
        <f>IF($B39="","",IFERROR(VLOOKUP($B39,'متابعة المشاريع'!$A$2:$D$1003,4,FALSE),""))</f>
        <v>AR12 | AR13 | AR20</v>
      </c>
    </row>
    <row r="40" spans="1:9" ht="42" customHeight="1" x14ac:dyDescent="0.3">
      <c r="A40" s="11">
        <v>7</v>
      </c>
      <c r="B40" s="12" t="s">
        <v>73</v>
      </c>
      <c r="C40" s="12" t="str">
        <f>IF($B40="","",IFERROR(VLOOKUP($B40,'متابعة المشاريع'!$A$2:$E$1003,5,FALSE),""))</f>
        <v>قيد التنفيذ</v>
      </c>
      <c r="D40" s="13">
        <f>IF($B40="","",IFERROR(VLOOKUP($B40,'متابعة المشاريع'!$A$2:$F$1003,6,FALSE),0))</f>
        <v>0.4</v>
      </c>
      <c r="E40" s="12">
        <f>IF($B40="","",IFERROR(VLOOKUP($B40,'متابعة المشاريع'!$A$2:$L$1003,12,FALSE),0))</f>
        <v>4</v>
      </c>
      <c r="F40" s="12">
        <f>IF($B40="","",IFERROR(VLOOKUP($B40,'متابعة المشاريع'!$A$2:$K$1003,11,FALSE),0))</f>
        <v>4</v>
      </c>
      <c r="G40" s="12">
        <f t="shared" si="0"/>
        <v>8</v>
      </c>
      <c r="H40" s="12" t="str">
        <f>IF($B40="","",IFERROR(VLOOKUP($B40,'متابعة المشاريع'!$A$2:$C$1003,3,FALSE),""))</f>
        <v>GAP-B-07 | GAP-B-18 | GAP-D-13 | GAP-T-13</v>
      </c>
      <c r="I40" s="12" t="str">
        <f>IF($B40="","",IFERROR(VLOOKUP($B40,'متابعة المشاريع'!$A$2:$D$1003,4,FALSE),""))</f>
        <v>AR02 | AR08 | AR11 | BR12</v>
      </c>
    </row>
    <row r="41" spans="1:9" ht="42" customHeight="1" x14ac:dyDescent="0.3">
      <c r="A41" s="11">
        <v>8</v>
      </c>
      <c r="B41" s="12" t="s">
        <v>74</v>
      </c>
      <c r="C41" s="12" t="str">
        <f>IF($B41="","",IFERROR(VLOOKUP($B41,'متابعة المشاريع'!$A$2:$E$1003,5,FALSE),""))</f>
        <v>قيد التنفيذ</v>
      </c>
      <c r="D41" s="13">
        <f>IF($B41="","",IFERROR(VLOOKUP($B41,'متابعة المشاريع'!$A$2:$F$1003,6,FALSE),0))</f>
        <v>0.65</v>
      </c>
      <c r="E41" s="12">
        <f>IF($B41="","",IFERROR(VLOOKUP($B41,'متابعة المشاريع'!$A$2:$L$1003,12,FALSE),0))</f>
        <v>4</v>
      </c>
      <c r="F41" s="12">
        <f>IF($B41="","",IFERROR(VLOOKUP($B41,'متابعة المشاريع'!$A$2:$K$1003,11,FALSE),0))</f>
        <v>2</v>
      </c>
      <c r="G41" s="12">
        <f t="shared" si="0"/>
        <v>6</v>
      </c>
      <c r="H41" s="12" t="str">
        <f>IF($B41="","",IFERROR(VLOOKUP($B41,'متابعة المشاريع'!$A$2:$C$1003,3,FALSE),""))</f>
        <v>GAP-B-18 | GAP-D-10 | GAP-D-11 | GAP-D-31</v>
      </c>
      <c r="I41" s="12" t="str">
        <f>IF($B41="","",IFERROR(VLOOKUP($B41,'متابعة المشاريع'!$A$2:$D$1003,4,FALSE),""))</f>
        <v>AR02 | AR06</v>
      </c>
    </row>
    <row r="42" spans="1:9" ht="42" customHeight="1" x14ac:dyDescent="0.3">
      <c r="A42" s="11">
        <v>9</v>
      </c>
      <c r="B42" s="12" t="s">
        <v>75</v>
      </c>
      <c r="C42" s="12" t="str">
        <f>IF($B42="","",IFERROR(VLOOKUP($B42,'متابعة المشاريع'!$A$2:$E$1003,5,FALSE),""))</f>
        <v>لم يبدأ</v>
      </c>
      <c r="D42" s="13">
        <f>IF($B42="","",IFERROR(VLOOKUP($B42,'متابعة المشاريع'!$A$2:$F$1003,6,FALSE),0))</f>
        <v>0</v>
      </c>
      <c r="E42" s="12">
        <f>IF($B42="","",IFERROR(VLOOKUP($B42,'متابعة المشاريع'!$A$2:$L$1003,12,FALSE),0))</f>
        <v>4</v>
      </c>
      <c r="F42" s="12">
        <f>IF($B42="","",IFERROR(VLOOKUP($B42,'متابعة المشاريع'!$A$2:$K$1003,11,FALSE),0))</f>
        <v>2</v>
      </c>
      <c r="G42" s="12">
        <f t="shared" si="0"/>
        <v>6</v>
      </c>
      <c r="H42" s="12" t="str">
        <f>IF($B42="","",IFERROR(VLOOKUP($B42,'متابعة المشاريع'!$A$2:$C$1003,3,FALSE),""))</f>
        <v>GAP-B-14 | GAP-B-19 | GAP-B-77 | GAP-B-78</v>
      </c>
      <c r="I42" s="12" t="str">
        <f>IF($B42="","",IFERROR(VLOOKUP($B42,'متابعة المشاريع'!$A$2:$D$1003,4,FALSE),""))</f>
        <v>BR07 | BR08</v>
      </c>
    </row>
    <row r="43" spans="1:9" ht="42" customHeight="1" x14ac:dyDescent="0.3">
      <c r="A43" s="11">
        <v>10</v>
      </c>
      <c r="B43" s="12" t="s">
        <v>76</v>
      </c>
      <c r="C43" s="12" t="str">
        <f>IF($B43="","",IFERROR(VLOOKUP($B43,'متابعة المشاريع'!$A$2:$E$1003,5,FALSE),""))</f>
        <v>قيد التنفيذ</v>
      </c>
      <c r="D43" s="13">
        <f>IF($B43="","",IFERROR(VLOOKUP($B43,'متابعة المشاريع'!$A$2:$F$1003,6,FALSE),0))</f>
        <v>0.4</v>
      </c>
      <c r="E43" s="12">
        <f>IF($B43="","",IFERROR(VLOOKUP($B43,'متابعة المشاريع'!$A$2:$L$1003,12,FALSE),0))</f>
        <v>4</v>
      </c>
      <c r="F43" s="12">
        <f>IF($B43="","",IFERROR(VLOOKUP($B43,'متابعة المشاريع'!$A$2:$K$1003,11,FALSE),0))</f>
        <v>2</v>
      </c>
      <c r="G43" s="12">
        <f t="shared" si="0"/>
        <v>6</v>
      </c>
      <c r="H43" s="12" t="str">
        <f>IF($B43="","",IFERROR(VLOOKUP($B43,'متابعة المشاريع'!$A$2:$C$1003,3,FALSE),""))</f>
        <v>GAP-D-06 | GAP-D-16 | GAP-D-28 | GAP-T-7</v>
      </c>
      <c r="I43" s="12" t="str">
        <f>IF($B43="","",IFERROR(VLOOKUP($B43,'متابعة المشاريع'!$A$2:$D$1003,4,FALSE),""))</f>
        <v>AR04 | DR02</v>
      </c>
    </row>
    <row r="44" spans="1:9" ht="42" customHeight="1" x14ac:dyDescent="0.3">
      <c r="A44" s="11">
        <v>11</v>
      </c>
      <c r="B44" s="12" t="s">
        <v>77</v>
      </c>
      <c r="C44" s="12" t="str">
        <f>IF($B44="","",IFERROR(VLOOKUP($B44,'متابعة المشاريع'!$A$2:$E$1003,5,FALSE),""))</f>
        <v>لم يبدأ</v>
      </c>
      <c r="D44" s="13">
        <f>IF($B44="","",IFERROR(VLOOKUP($B44,'متابعة المشاريع'!$A$2:$F$1003,6,FALSE),0))</f>
        <v>0</v>
      </c>
      <c r="E44" s="12">
        <f>IF($B44="","",IFERROR(VLOOKUP($B44,'متابعة المشاريع'!$A$2:$L$1003,12,FALSE),0))</f>
        <v>4</v>
      </c>
      <c r="F44" s="12">
        <f>IF($B44="","",IFERROR(VLOOKUP($B44,'متابعة المشاريع'!$A$2:$K$1003,11,FALSE),0))</f>
        <v>2</v>
      </c>
      <c r="G44" s="12">
        <f t="shared" si="0"/>
        <v>6</v>
      </c>
      <c r="H44" s="12" t="str">
        <f>IF($B44="","",IFERROR(VLOOKUP($B44,'متابعة المشاريع'!$A$2:$C$1003,3,FALSE),""))</f>
        <v>GAP-D-07 | GAP-D-09 | GAP-D-15 | GAP-T-8</v>
      </c>
      <c r="I44" s="12" t="str">
        <f>IF($B44="","",IFERROR(VLOOKUP($B44,'متابعة المشاريع'!$A$2:$D$1003,4,FALSE),""))</f>
        <v>AR05 | DR01</v>
      </c>
    </row>
    <row r="45" spans="1:9" ht="42" customHeight="1" x14ac:dyDescent="0.3">
      <c r="A45" s="11">
        <v>12</v>
      </c>
      <c r="B45" s="12" t="s">
        <v>78</v>
      </c>
      <c r="C45" s="12" t="str">
        <f>IF($B45="","",IFERROR(VLOOKUP($B45,'متابعة المشاريع'!$A$2:$E$1003,5,FALSE),""))</f>
        <v>قيد التنفيذ</v>
      </c>
      <c r="D45" s="13">
        <f>IF($B45="","",IFERROR(VLOOKUP($B45,'متابعة المشاريع'!$A$2:$F$1003,6,FALSE),0))</f>
        <v>0.5</v>
      </c>
      <c r="E45" s="12">
        <f>IF($B45="","",IFERROR(VLOOKUP($B45,'متابعة المشاريع'!$A$2:$L$1003,12,FALSE),0))</f>
        <v>4</v>
      </c>
      <c r="F45" s="12">
        <f>IF($B45="","",IFERROR(VLOOKUP($B45,'متابعة المشاريع'!$A$2:$K$1003,11,FALSE),0))</f>
        <v>1</v>
      </c>
      <c r="G45" s="12">
        <f t="shared" si="0"/>
        <v>5</v>
      </c>
      <c r="H45" s="12" t="str">
        <f>IF($B45="","",IFERROR(VLOOKUP($B45,'متابعة المشاريع'!$A$2:$C$1003,3,FALSE),""))</f>
        <v>GAP-D-04 | GAP-D-05 | GAP-T-5 | GAP-T-6</v>
      </c>
      <c r="I45" s="12" t="str">
        <f>IF($B45="","",IFERROR(VLOOKUP($B45,'متابعة المشاريع'!$A$2:$D$1003,4,FALSE),""))</f>
        <v>AR03</v>
      </c>
    </row>
    <row r="46" spans="1:9" ht="42" customHeight="1" x14ac:dyDescent="0.3">
      <c r="A46" s="11">
        <v>13</v>
      </c>
      <c r="B46" s="12" t="s">
        <v>79</v>
      </c>
      <c r="C46" s="12" t="str">
        <f>IF($B46="","",IFERROR(VLOOKUP($B46,'متابعة المشاريع'!$A$2:$E$1003,5,FALSE),""))</f>
        <v>قيد التنفيذ</v>
      </c>
      <c r="D46" s="13">
        <f>IF($B46="","",IFERROR(VLOOKUP($B46,'متابعة المشاريع'!$A$2:$F$1003,6,FALSE),0))</f>
        <v>0.5</v>
      </c>
      <c r="E46" s="12">
        <f>IF($B46="","",IFERROR(VLOOKUP($B46,'متابعة المشاريع'!$A$2:$L$1003,12,FALSE),0))</f>
        <v>3</v>
      </c>
      <c r="F46" s="12">
        <f>IF($B46="","",IFERROR(VLOOKUP($B46,'متابعة المشاريع'!$A$2:$K$1003,11,FALSE),0))</f>
        <v>2</v>
      </c>
      <c r="G46" s="12">
        <f t="shared" si="0"/>
        <v>5</v>
      </c>
      <c r="H46" s="12" t="str">
        <f>IF($B46="","",IFERROR(VLOOKUP($B46,'متابعة المشاريع'!$A$2:$C$1003,3,FALSE),""))</f>
        <v>GAP-T-11 | GAP-T-14 | GAP-T-17</v>
      </c>
      <c r="I46" s="12" t="str">
        <f>IF($B46="","",IFERROR(VLOOKUP($B46,'متابعة المشاريع'!$A$2:$D$1003,4,FALSE),""))</f>
        <v>TR02 | TR04</v>
      </c>
    </row>
    <row r="47" spans="1:9" ht="42" customHeight="1" x14ac:dyDescent="0.3">
      <c r="A47" s="11">
        <v>14</v>
      </c>
      <c r="B47" s="12" t="s">
        <v>80</v>
      </c>
      <c r="C47" s="12" t="str">
        <f>IF($B47="","",IFERROR(VLOOKUP($B47,'متابعة المشاريع'!$A$2:$E$1003,5,FALSE),""))</f>
        <v>حسب المخطط</v>
      </c>
      <c r="D47" s="13">
        <f>IF($B47="","",IFERROR(VLOOKUP($B47,'متابعة المشاريع'!$A$2:$F$1003,6,FALSE),0))</f>
        <v>0.45</v>
      </c>
      <c r="E47" s="12">
        <f>IF($B47="","",IFERROR(VLOOKUP($B47,'متابعة المشاريع'!$A$2:$L$1003,12,FALSE),0))</f>
        <v>3</v>
      </c>
      <c r="F47" s="12">
        <f>IF($B47="","",IFERROR(VLOOKUP($B47,'متابعة المشاريع'!$A$2:$K$1003,11,FALSE),0))</f>
        <v>1</v>
      </c>
      <c r="G47" s="12">
        <f t="shared" si="0"/>
        <v>4</v>
      </c>
      <c r="H47" s="12" t="str">
        <f>IF($B47="","",IFERROR(VLOOKUP($B47,'متابعة المشاريع'!$A$2:$C$1003,3,FALSE),""))</f>
        <v>GAP-A-06 | GAP-D-12 | GAP-T-4</v>
      </c>
      <c r="I47" s="12" t="str">
        <f>IF($B47="","",IFERROR(VLOOKUP($B47,'متابعة المشاريع'!$A$2:$D$1003,4,FALSE),""))</f>
        <v>AR07</v>
      </c>
    </row>
    <row r="48" spans="1:9" ht="42" customHeight="1" x14ac:dyDescent="0.3">
      <c r="A48" s="11">
        <v>15</v>
      </c>
      <c r="B48" s="12" t="s">
        <v>81</v>
      </c>
      <c r="C48" s="12" t="str">
        <f>IF($B48="","",IFERROR(VLOOKUP($B48,'متابعة المشاريع'!$A$2:$E$1003,5,FALSE),""))</f>
        <v>لم يبدأ</v>
      </c>
      <c r="D48" s="13">
        <f>IF($B48="","",IFERROR(VLOOKUP($B48,'متابعة المشاريع'!$A$2:$F$1003,6,FALSE),0))</f>
        <v>0</v>
      </c>
      <c r="E48" s="12">
        <f>IF($B48="","",IFERROR(VLOOKUP($B48,'متابعة المشاريع'!$A$2:$L$1003,12,FALSE),0))</f>
        <v>2</v>
      </c>
      <c r="F48" s="12">
        <f>IF($B48="","",IFERROR(VLOOKUP($B48,'متابعة المشاريع'!$A$2:$K$1003,11,FALSE),0))</f>
        <v>2</v>
      </c>
      <c r="G48" s="12">
        <f t="shared" si="0"/>
        <v>4</v>
      </c>
      <c r="H48" s="12" t="str">
        <f>IF($B48="","",IFERROR(VLOOKUP($B48,'متابعة المشاريع'!$A$2:$C$1003,3,FALSE),""))</f>
        <v>GAP-D-13 | GAP-T-13</v>
      </c>
      <c r="I48" s="12" t="str">
        <f>IF($B48="","",IFERROR(VLOOKUP($B48,'متابعة المشاريع'!$A$2:$D$1003,4,FALSE),""))</f>
        <v>AR08 | TR05</v>
      </c>
    </row>
  </sheetData>
  <mergeCells count="12">
    <mergeCell ref="E3:F3"/>
    <mergeCell ref="A1:H1"/>
    <mergeCell ref="C3:D3"/>
    <mergeCell ref="A3:B3"/>
    <mergeCell ref="G3:H3"/>
    <mergeCell ref="A4:B4"/>
    <mergeCell ref="G4:H4"/>
    <mergeCell ref="E4:F4"/>
    <mergeCell ref="A32:I32"/>
    <mergeCell ref="A19:H19"/>
    <mergeCell ref="A6:H6"/>
    <mergeCell ref="C4:D4"/>
  </mergeCells>
  <conditionalFormatting sqref="D8:D1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D21:D3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D34:D4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rightToLeft="1" workbookViewId="0">
      <selection activeCell="I11" sqref="I11"/>
    </sheetView>
  </sheetViews>
  <sheetFormatPr defaultRowHeight="14.4" x14ac:dyDescent="0.3"/>
  <sheetData>
    <row r="1" spans="1:1" ht="57.6" customHeight="1" x14ac:dyDescent="0.3">
      <c r="A1" s="1" t="s">
        <v>82</v>
      </c>
    </row>
    <row r="2" spans="1:1" x14ac:dyDescent="0.3">
      <c r="A2" s="1"/>
    </row>
    <row r="3" spans="1:1" ht="403.2" customHeight="1" x14ac:dyDescent="0.3">
      <c r="A3" s="1" t="s">
        <v>83</v>
      </c>
    </row>
    <row r="4" spans="1:1" x14ac:dyDescent="0.3">
      <c r="A4" s="1"/>
    </row>
    <row r="5" spans="1:1" ht="43.2" customHeight="1" x14ac:dyDescent="0.3">
      <c r="A5" s="1" t="s">
        <v>84</v>
      </c>
    </row>
    <row r="6" spans="1:1" ht="129.6" customHeight="1" x14ac:dyDescent="0.3">
      <c r="A6" s="1" t="s">
        <v>85</v>
      </c>
    </row>
    <row r="7" spans="1:1" ht="144" customHeight="1" x14ac:dyDescent="0.3">
      <c r="A7" s="1" t="s">
        <v>86</v>
      </c>
    </row>
    <row r="8" spans="1:1" ht="115.2" customHeight="1" x14ac:dyDescent="0.3">
      <c r="A8" s="1" t="s">
        <v>87</v>
      </c>
    </row>
    <row r="9" spans="1:1" ht="115.2" customHeight="1" x14ac:dyDescent="0.3">
      <c r="A9" s="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3"/>
  <sheetViews>
    <sheetView rightToLeft="1" workbookViewId="0">
      <selection activeCell="I11" sqref="I11"/>
    </sheetView>
  </sheetViews>
  <sheetFormatPr defaultRowHeight="14.4" x14ac:dyDescent="0.3"/>
  <sheetData>
    <row r="1" spans="1:11" ht="43.2" customHeight="1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</row>
    <row r="2" spans="1:11" ht="86.4" customHeight="1" x14ac:dyDescent="0.3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1" t="s">
        <v>106</v>
      </c>
      <c r="H2" s="1" t="s">
        <v>107</v>
      </c>
      <c r="I2" s="1" t="s">
        <v>108</v>
      </c>
      <c r="J2" t="s">
        <v>109</v>
      </c>
      <c r="K2" t="s">
        <v>110</v>
      </c>
    </row>
    <row r="3" spans="1:11" ht="72" customHeight="1" x14ac:dyDescent="0.3">
      <c r="A3" s="1" t="s">
        <v>111</v>
      </c>
      <c r="B3" s="1" t="s">
        <v>112</v>
      </c>
      <c r="C3" s="1" t="s">
        <v>109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117</v>
      </c>
      <c r="I3" s="1" t="s">
        <v>70</v>
      </c>
      <c r="J3" t="s">
        <v>118</v>
      </c>
      <c r="K3" t="s">
        <v>119</v>
      </c>
    </row>
    <row r="4" spans="1:11" ht="100.8" customHeight="1" x14ac:dyDescent="0.3">
      <c r="A4" s="1" t="s">
        <v>120</v>
      </c>
      <c r="B4" s="1" t="s">
        <v>113</v>
      </c>
      <c r="C4" s="1" t="s">
        <v>121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  <c r="I4" s="1" t="s">
        <v>127</v>
      </c>
      <c r="J4" t="s">
        <v>128</v>
      </c>
      <c r="K4" t="s">
        <v>129</v>
      </c>
    </row>
    <row r="5" spans="1:11" ht="72" customHeight="1" x14ac:dyDescent="0.3">
      <c r="A5" s="1"/>
      <c r="B5" s="1" t="s">
        <v>122</v>
      </c>
      <c r="C5" s="1" t="s">
        <v>128</v>
      </c>
      <c r="D5" s="1"/>
      <c r="E5" s="1"/>
      <c r="F5" s="1" t="s">
        <v>130</v>
      </c>
      <c r="G5" s="1" t="s">
        <v>131</v>
      </c>
      <c r="H5" s="1" t="s">
        <v>132</v>
      </c>
      <c r="I5" s="1" t="s">
        <v>133</v>
      </c>
      <c r="J5" t="s">
        <v>134</v>
      </c>
      <c r="K5" t="s">
        <v>135</v>
      </c>
    </row>
    <row r="6" spans="1:11" ht="115.2" customHeight="1" x14ac:dyDescent="0.3">
      <c r="A6" s="1"/>
      <c r="B6" s="1"/>
      <c r="C6" s="1" t="s">
        <v>134</v>
      </c>
      <c r="D6" s="1"/>
      <c r="E6" s="1"/>
      <c r="F6" s="1" t="s">
        <v>136</v>
      </c>
      <c r="G6" s="1" t="s">
        <v>137</v>
      </c>
      <c r="H6" s="1" t="s">
        <v>138</v>
      </c>
      <c r="I6" s="1" t="s">
        <v>139</v>
      </c>
      <c r="J6" t="s">
        <v>140</v>
      </c>
    </row>
    <row r="7" spans="1:11" ht="100.8" customHeight="1" x14ac:dyDescent="0.3">
      <c r="A7" s="1"/>
      <c r="B7" s="1"/>
      <c r="C7" s="1" t="s">
        <v>140</v>
      </c>
      <c r="D7" s="1"/>
      <c r="E7" s="1"/>
      <c r="F7" s="1" t="s">
        <v>141</v>
      </c>
      <c r="G7" s="1" t="s">
        <v>142</v>
      </c>
      <c r="H7" s="1" t="s">
        <v>143</v>
      </c>
      <c r="I7" s="1" t="s">
        <v>144</v>
      </c>
    </row>
    <row r="8" spans="1:11" ht="100.8" customHeight="1" x14ac:dyDescent="0.3">
      <c r="A8" s="1"/>
      <c r="B8" s="1"/>
      <c r="C8" s="1"/>
      <c r="D8" s="1"/>
      <c r="E8" s="1"/>
      <c r="F8" s="1" t="s">
        <v>145</v>
      </c>
      <c r="G8" s="1"/>
      <c r="H8" s="1" t="s">
        <v>146</v>
      </c>
      <c r="I8" s="1" t="s">
        <v>147</v>
      </c>
    </row>
    <row r="9" spans="1:11" ht="144" customHeight="1" x14ac:dyDescent="0.3">
      <c r="A9" s="1"/>
      <c r="B9" s="1"/>
      <c r="C9" s="1"/>
      <c r="D9" s="1"/>
      <c r="E9" s="1"/>
      <c r="F9" s="1" t="s">
        <v>148</v>
      </c>
      <c r="G9" s="1"/>
      <c r="H9" s="1" t="s">
        <v>149</v>
      </c>
      <c r="I9" s="1" t="s">
        <v>150</v>
      </c>
    </row>
    <row r="10" spans="1:11" ht="86.4" customHeight="1" x14ac:dyDescent="0.3">
      <c r="A10" s="1"/>
      <c r="B10" s="1"/>
      <c r="C10" s="1"/>
      <c r="D10" s="1"/>
      <c r="E10" s="1"/>
      <c r="F10" s="1"/>
      <c r="G10" s="1"/>
      <c r="H10" s="1" t="s">
        <v>151</v>
      </c>
      <c r="I10" s="1" t="s">
        <v>152</v>
      </c>
    </row>
    <row r="11" spans="1:11" ht="100.8" customHeight="1" x14ac:dyDescent="0.3">
      <c r="A11" s="1"/>
      <c r="B11" s="1"/>
      <c r="C11" s="1"/>
      <c r="D11" s="1"/>
      <c r="E11" s="1"/>
      <c r="F11" s="1"/>
      <c r="G11" s="1"/>
      <c r="H11" s="1" t="s">
        <v>153</v>
      </c>
      <c r="I11" s="1" t="s">
        <v>154</v>
      </c>
    </row>
    <row r="12" spans="1:11" ht="115.2" customHeight="1" x14ac:dyDescent="0.3">
      <c r="A12" s="1"/>
      <c r="B12" s="1"/>
      <c r="C12" s="1"/>
      <c r="D12" s="1"/>
      <c r="E12" s="1"/>
      <c r="F12" s="1"/>
      <c r="G12" s="1"/>
      <c r="H12" s="1" t="s">
        <v>155</v>
      </c>
      <c r="I12" s="1" t="s">
        <v>156</v>
      </c>
    </row>
    <row r="13" spans="1:11" ht="72" customHeight="1" x14ac:dyDescent="0.3">
      <c r="A13" s="1"/>
      <c r="B13" s="1"/>
      <c r="C13" s="1"/>
      <c r="D13" s="1"/>
      <c r="E13" s="1"/>
      <c r="F13" s="1"/>
      <c r="G13" s="1"/>
      <c r="H13" s="1" t="s">
        <v>157</v>
      </c>
      <c r="I13" s="1" t="s">
        <v>158</v>
      </c>
    </row>
    <row r="14" spans="1:11" ht="115.2" customHeight="1" x14ac:dyDescent="0.3">
      <c r="A14" s="1"/>
      <c r="B14" s="1"/>
      <c r="C14" s="1"/>
      <c r="D14" s="1"/>
      <c r="E14" s="1"/>
      <c r="F14" s="1"/>
      <c r="G14" s="1"/>
      <c r="H14" s="1" t="s">
        <v>159</v>
      </c>
      <c r="I14" s="1" t="s">
        <v>160</v>
      </c>
    </row>
    <row r="15" spans="1:11" ht="43.2" customHeight="1" x14ac:dyDescent="0.3">
      <c r="A15" s="1"/>
      <c r="B15" s="1"/>
      <c r="C15" s="1"/>
      <c r="D15" s="1"/>
      <c r="E15" s="1"/>
      <c r="F15" s="1"/>
      <c r="G15" s="1"/>
      <c r="H15" s="1" t="s">
        <v>161</v>
      </c>
      <c r="I15" s="1" t="s">
        <v>162</v>
      </c>
    </row>
    <row r="16" spans="1:11" ht="100.8" customHeight="1" x14ac:dyDescent="0.3">
      <c r="A16" s="1"/>
      <c r="B16" s="1"/>
      <c r="C16" s="1"/>
      <c r="D16" s="1"/>
      <c r="E16" s="1"/>
      <c r="F16" s="1"/>
      <c r="G16" s="1"/>
      <c r="H16" s="1" t="s">
        <v>163</v>
      </c>
      <c r="I16" s="1" t="s">
        <v>164</v>
      </c>
    </row>
    <row r="17" spans="1:9" ht="86.4" customHeight="1" x14ac:dyDescent="0.3">
      <c r="A17" s="1"/>
      <c r="B17" s="1"/>
      <c r="C17" s="1"/>
      <c r="D17" s="1"/>
      <c r="E17" s="1"/>
      <c r="F17" s="1"/>
      <c r="G17" s="1"/>
      <c r="H17" s="1" t="s">
        <v>165</v>
      </c>
      <c r="I17" s="1" t="s">
        <v>166</v>
      </c>
    </row>
    <row r="18" spans="1:9" ht="86.4" customHeight="1" x14ac:dyDescent="0.3">
      <c r="A18" s="1"/>
      <c r="B18" s="1"/>
      <c r="C18" s="1"/>
      <c r="D18" s="1"/>
      <c r="E18" s="1"/>
      <c r="F18" s="1"/>
      <c r="G18" s="1"/>
      <c r="H18" s="1" t="s">
        <v>167</v>
      </c>
      <c r="I18" s="1" t="s">
        <v>168</v>
      </c>
    </row>
    <row r="19" spans="1:9" ht="230.4" customHeight="1" x14ac:dyDescent="0.3">
      <c r="A19" s="1"/>
      <c r="B19" s="1"/>
      <c r="C19" s="1"/>
      <c r="D19" s="1"/>
      <c r="E19" s="1"/>
      <c r="F19" s="1"/>
      <c r="G19" s="1"/>
      <c r="H19" s="1" t="s">
        <v>169</v>
      </c>
      <c r="I19" s="1" t="s">
        <v>170</v>
      </c>
    </row>
    <row r="20" spans="1:9" ht="57.6" customHeight="1" x14ac:dyDescent="0.3">
      <c r="A20" s="1"/>
      <c r="B20" s="1"/>
      <c r="C20" s="1"/>
      <c r="D20" s="1"/>
      <c r="E20" s="1"/>
      <c r="F20" s="1"/>
      <c r="G20" s="1"/>
      <c r="H20" s="1" t="s">
        <v>171</v>
      </c>
      <c r="I20" s="1" t="s">
        <v>172</v>
      </c>
    </row>
    <row r="21" spans="1:9" ht="100.8" customHeight="1" x14ac:dyDescent="0.3">
      <c r="A21" s="1"/>
      <c r="B21" s="1"/>
      <c r="C21" s="1"/>
      <c r="D21" s="1"/>
      <c r="E21" s="1"/>
      <c r="F21" s="1"/>
      <c r="G21" s="1"/>
      <c r="H21" s="1" t="s">
        <v>173</v>
      </c>
      <c r="I21" s="1" t="s">
        <v>80</v>
      </c>
    </row>
    <row r="22" spans="1:9" ht="43.2" customHeight="1" x14ac:dyDescent="0.3">
      <c r="A22" s="1"/>
      <c r="B22" s="1"/>
      <c r="C22" s="1"/>
      <c r="D22" s="1"/>
      <c r="E22" s="1"/>
      <c r="F22" s="1"/>
      <c r="G22" s="1"/>
      <c r="H22" s="1" t="s">
        <v>174</v>
      </c>
      <c r="I22" s="1" t="s">
        <v>175</v>
      </c>
    </row>
    <row r="23" spans="1:9" ht="100.8" customHeight="1" x14ac:dyDescent="0.3">
      <c r="A23" s="1"/>
      <c r="B23" s="1"/>
      <c r="C23" s="1"/>
      <c r="D23" s="1"/>
      <c r="E23" s="1"/>
      <c r="F23" s="1"/>
      <c r="G23" s="1"/>
      <c r="H23" s="1" t="s">
        <v>176</v>
      </c>
      <c r="I23" s="1" t="s">
        <v>177</v>
      </c>
    </row>
    <row r="24" spans="1:9" ht="86.4" customHeight="1" x14ac:dyDescent="0.3">
      <c r="A24" s="1"/>
      <c r="B24" s="1"/>
      <c r="C24" s="1"/>
      <c r="D24" s="1"/>
      <c r="E24" s="1"/>
      <c r="F24" s="1"/>
      <c r="G24" s="1"/>
      <c r="H24" s="1" t="s">
        <v>178</v>
      </c>
      <c r="I24" s="1" t="s">
        <v>179</v>
      </c>
    </row>
    <row r="25" spans="1:9" ht="57.6" customHeight="1" x14ac:dyDescent="0.3">
      <c r="A25" s="1"/>
      <c r="B25" s="1"/>
      <c r="C25" s="1"/>
      <c r="D25" s="1"/>
      <c r="E25" s="1"/>
      <c r="F25" s="1"/>
      <c r="G25" s="1"/>
      <c r="H25" s="1" t="s">
        <v>180</v>
      </c>
      <c r="I25" s="1" t="s">
        <v>181</v>
      </c>
    </row>
    <row r="26" spans="1:9" ht="28.8" customHeight="1" x14ac:dyDescent="0.3">
      <c r="A26" s="1"/>
      <c r="B26" s="1"/>
      <c r="C26" s="1"/>
      <c r="D26" s="1"/>
      <c r="E26" s="1"/>
      <c r="F26" s="1"/>
      <c r="G26" s="1"/>
      <c r="H26" s="1" t="s">
        <v>182</v>
      </c>
      <c r="I26" s="1" t="s">
        <v>183</v>
      </c>
    </row>
    <row r="27" spans="1:9" ht="100.8" customHeight="1" x14ac:dyDescent="0.3">
      <c r="A27" s="1"/>
      <c r="B27" s="1"/>
      <c r="C27" s="1"/>
      <c r="D27" s="1"/>
      <c r="E27" s="1"/>
      <c r="F27" s="1"/>
      <c r="G27" s="1"/>
      <c r="H27" s="1" t="s">
        <v>184</v>
      </c>
      <c r="I27" s="1" t="s">
        <v>185</v>
      </c>
    </row>
    <row r="28" spans="1:9" ht="43.2" customHeight="1" x14ac:dyDescent="0.3">
      <c r="A28" s="1"/>
      <c r="B28" s="1"/>
      <c r="C28" s="1"/>
      <c r="D28" s="1"/>
      <c r="E28" s="1"/>
      <c r="F28" s="1"/>
      <c r="G28" s="1"/>
      <c r="H28" s="1" t="s">
        <v>186</v>
      </c>
      <c r="I28" s="1" t="s">
        <v>75</v>
      </c>
    </row>
    <row r="29" spans="1:9" ht="115.2" customHeight="1" x14ac:dyDescent="0.3">
      <c r="A29" s="1"/>
      <c r="B29" s="1"/>
      <c r="C29" s="1"/>
      <c r="D29" s="1"/>
      <c r="E29" s="1"/>
      <c r="F29" s="1"/>
      <c r="G29" s="1"/>
      <c r="H29" s="1" t="s">
        <v>187</v>
      </c>
      <c r="I29" s="1" t="s">
        <v>76</v>
      </c>
    </row>
    <row r="30" spans="1:9" ht="86.4" customHeight="1" x14ac:dyDescent="0.3">
      <c r="A30" s="1"/>
      <c r="B30" s="1"/>
      <c r="C30" s="1"/>
      <c r="D30" s="1"/>
      <c r="E30" s="1"/>
      <c r="F30" s="1"/>
      <c r="G30" s="1"/>
      <c r="H30" s="1" t="s">
        <v>188</v>
      </c>
      <c r="I30" s="1" t="s">
        <v>73</v>
      </c>
    </row>
    <row r="31" spans="1:9" ht="86.4" customHeight="1" x14ac:dyDescent="0.3">
      <c r="A31" s="1"/>
      <c r="B31" s="1"/>
      <c r="C31" s="1"/>
      <c r="D31" s="1"/>
      <c r="E31" s="1"/>
      <c r="F31" s="1"/>
      <c r="G31" s="1"/>
      <c r="H31" s="1" t="s">
        <v>189</v>
      </c>
      <c r="I31" s="1" t="s">
        <v>77</v>
      </c>
    </row>
    <row r="32" spans="1:9" ht="72" customHeight="1" x14ac:dyDescent="0.3">
      <c r="A32" s="1"/>
      <c r="B32" s="1"/>
      <c r="C32" s="1"/>
      <c r="D32" s="1"/>
      <c r="E32" s="1"/>
      <c r="F32" s="1"/>
      <c r="G32" s="1"/>
      <c r="H32" s="1" t="s">
        <v>190</v>
      </c>
      <c r="I32" s="1" t="s">
        <v>71</v>
      </c>
    </row>
    <row r="33" spans="1:9" ht="28.8" customHeight="1" x14ac:dyDescent="0.3">
      <c r="A33" s="1"/>
      <c r="B33" s="1"/>
      <c r="C33" s="1"/>
      <c r="D33" s="1"/>
      <c r="E33" s="1"/>
      <c r="F33" s="1"/>
      <c r="G33" s="1"/>
      <c r="H33" s="1" t="s">
        <v>191</v>
      </c>
      <c r="I33" s="1" t="s">
        <v>192</v>
      </c>
    </row>
    <row r="34" spans="1:9" ht="43.2" customHeight="1" x14ac:dyDescent="0.3">
      <c r="A34" s="1"/>
      <c r="B34" s="1"/>
      <c r="C34" s="1"/>
      <c r="D34" s="1"/>
      <c r="E34" s="1"/>
      <c r="F34" s="1"/>
      <c r="G34" s="1"/>
      <c r="H34" s="1" t="s">
        <v>193</v>
      </c>
      <c r="I34" s="1" t="s">
        <v>81</v>
      </c>
    </row>
    <row r="35" spans="1:9" ht="100.8" customHeight="1" x14ac:dyDescent="0.3">
      <c r="A35" s="1"/>
      <c r="B35" s="1"/>
      <c r="C35" s="1"/>
      <c r="D35" s="1"/>
      <c r="E35" s="1"/>
      <c r="F35" s="1"/>
      <c r="G35" s="1"/>
      <c r="H35" s="1" t="s">
        <v>194</v>
      </c>
      <c r="I35" s="1" t="s">
        <v>78</v>
      </c>
    </row>
    <row r="36" spans="1:9" ht="57.6" customHeight="1" x14ac:dyDescent="0.3">
      <c r="A36" s="1"/>
      <c r="B36" s="1"/>
      <c r="C36" s="1"/>
      <c r="D36" s="1"/>
      <c r="E36" s="1"/>
      <c r="F36" s="1"/>
      <c r="G36" s="1"/>
      <c r="H36" s="1" t="s">
        <v>195</v>
      </c>
      <c r="I36" s="1" t="s">
        <v>79</v>
      </c>
    </row>
    <row r="37" spans="1:9" ht="28.8" customHeight="1" x14ac:dyDescent="0.3">
      <c r="A37" s="1"/>
      <c r="B37" s="1"/>
      <c r="C37" s="1"/>
      <c r="D37" s="1"/>
      <c r="E37" s="1"/>
      <c r="F37" s="1"/>
      <c r="G37" s="1"/>
      <c r="H37" s="1" t="s">
        <v>196</v>
      </c>
      <c r="I37" s="1" t="s">
        <v>197</v>
      </c>
    </row>
    <row r="38" spans="1:9" ht="28.8" customHeight="1" x14ac:dyDescent="0.3">
      <c r="A38" s="1"/>
      <c r="B38" s="1"/>
      <c r="C38" s="1"/>
      <c r="D38" s="1"/>
      <c r="E38" s="1"/>
      <c r="F38" s="1"/>
      <c r="G38" s="1"/>
      <c r="H38" s="1" t="s">
        <v>198</v>
      </c>
      <c r="I38" s="1" t="s">
        <v>199</v>
      </c>
    </row>
    <row r="39" spans="1:9" ht="28.8" customHeight="1" x14ac:dyDescent="0.3">
      <c r="A39" s="1"/>
      <c r="B39" s="1"/>
      <c r="C39" s="1"/>
      <c r="D39" s="1"/>
      <c r="E39" s="1"/>
      <c r="F39" s="1"/>
      <c r="G39" s="1"/>
      <c r="H39" s="1" t="s">
        <v>16</v>
      </c>
      <c r="I39" s="1" t="s">
        <v>200</v>
      </c>
    </row>
    <row r="40" spans="1:9" ht="72" customHeight="1" x14ac:dyDescent="0.3">
      <c r="A40" s="1"/>
      <c r="B40" s="1"/>
      <c r="C40" s="1"/>
      <c r="D40" s="1"/>
      <c r="E40" s="1"/>
      <c r="F40" s="1"/>
      <c r="G40" s="1"/>
      <c r="H40" s="1" t="s">
        <v>201</v>
      </c>
      <c r="I40" s="1" t="s">
        <v>202</v>
      </c>
    </row>
    <row r="41" spans="1:9" ht="144" customHeight="1" x14ac:dyDescent="0.3">
      <c r="A41" s="1"/>
      <c r="B41" s="1"/>
      <c r="C41" s="1"/>
      <c r="D41" s="1"/>
      <c r="E41" s="1"/>
      <c r="F41" s="1"/>
      <c r="G41" s="1"/>
      <c r="H41" s="1" t="s">
        <v>18</v>
      </c>
      <c r="I41" s="1" t="s">
        <v>203</v>
      </c>
    </row>
    <row r="42" spans="1:9" ht="57.6" customHeight="1" x14ac:dyDescent="0.3">
      <c r="A42" s="1"/>
      <c r="B42" s="1"/>
      <c r="C42" s="1"/>
      <c r="D42" s="1"/>
      <c r="E42" s="1"/>
      <c r="F42" s="1"/>
      <c r="G42" s="1"/>
      <c r="H42" s="1" t="s">
        <v>204</v>
      </c>
      <c r="I42" s="1" t="s">
        <v>205</v>
      </c>
    </row>
    <row r="43" spans="1:9" ht="43.2" customHeight="1" x14ac:dyDescent="0.3">
      <c r="A43" s="1"/>
      <c r="B43" s="1"/>
      <c r="C43" s="1"/>
      <c r="D43" s="1"/>
      <c r="E43" s="1"/>
      <c r="F43" s="1"/>
      <c r="G43" s="1"/>
      <c r="H43" s="1" t="s">
        <v>206</v>
      </c>
      <c r="I43" s="1" t="s">
        <v>69</v>
      </c>
    </row>
    <row r="44" spans="1:9" ht="43.2" customHeight="1" x14ac:dyDescent="0.3">
      <c r="A44" s="1"/>
      <c r="B44" s="1"/>
      <c r="C44" s="1"/>
      <c r="D44" s="1"/>
      <c r="E44" s="1"/>
      <c r="F44" s="1"/>
      <c r="G44" s="1"/>
      <c r="H44" s="1" t="s">
        <v>207</v>
      </c>
      <c r="I44" s="1" t="s">
        <v>208</v>
      </c>
    </row>
    <row r="45" spans="1:9" ht="28.8" customHeight="1" x14ac:dyDescent="0.3">
      <c r="A45" s="1"/>
      <c r="B45" s="1"/>
      <c r="C45" s="1"/>
      <c r="D45" s="1"/>
      <c r="E45" s="1"/>
      <c r="F45" s="1"/>
      <c r="G45" s="1"/>
      <c r="H45" s="1" t="s">
        <v>209</v>
      </c>
      <c r="I45" s="1" t="s">
        <v>210</v>
      </c>
    </row>
    <row r="46" spans="1:9" ht="28.8" customHeight="1" x14ac:dyDescent="0.3">
      <c r="A46" s="1"/>
      <c r="B46" s="1"/>
      <c r="C46" s="1"/>
      <c r="D46" s="1"/>
      <c r="E46" s="1"/>
      <c r="F46" s="1"/>
      <c r="G46" s="1"/>
      <c r="H46" s="1" t="s">
        <v>211</v>
      </c>
      <c r="I46" s="1" t="s">
        <v>212</v>
      </c>
    </row>
    <row r="47" spans="1:9" ht="72" customHeight="1" x14ac:dyDescent="0.3">
      <c r="A47" s="1"/>
      <c r="B47" s="1"/>
      <c r="C47" s="1"/>
      <c r="D47" s="1"/>
      <c r="E47" s="1"/>
      <c r="F47" s="1"/>
      <c r="G47" s="1"/>
      <c r="H47" s="1" t="s">
        <v>20</v>
      </c>
      <c r="I47" s="1" t="s">
        <v>68</v>
      </c>
    </row>
    <row r="48" spans="1:9" ht="43.2" customHeight="1" x14ac:dyDescent="0.3">
      <c r="A48" s="1"/>
      <c r="B48" s="1"/>
      <c r="C48" s="1"/>
      <c r="D48" s="1"/>
      <c r="E48" s="1"/>
      <c r="F48" s="1"/>
      <c r="G48" s="1"/>
      <c r="H48" s="1" t="s">
        <v>213</v>
      </c>
      <c r="I48" s="1" t="s">
        <v>72</v>
      </c>
    </row>
    <row r="49" spans="1:9" ht="43.2" customHeight="1" x14ac:dyDescent="0.3">
      <c r="A49" s="1"/>
      <c r="B49" s="1"/>
      <c r="C49" s="1"/>
      <c r="D49" s="1"/>
      <c r="E49" s="1"/>
      <c r="F49" s="1"/>
      <c r="G49" s="1"/>
      <c r="H49" s="1" t="s">
        <v>214</v>
      </c>
      <c r="I49" s="1" t="s">
        <v>215</v>
      </c>
    </row>
    <row r="50" spans="1:9" x14ac:dyDescent="0.3">
      <c r="A50" s="1"/>
      <c r="B50" s="1"/>
      <c r="C50" s="1"/>
      <c r="D50" s="1"/>
      <c r="E50" s="1"/>
      <c r="F50" s="1"/>
      <c r="G50" s="1"/>
      <c r="H50" s="1" t="s">
        <v>216</v>
      </c>
      <c r="I50" s="1" t="s">
        <v>217</v>
      </c>
    </row>
    <row r="51" spans="1:9" ht="28.8" customHeight="1" x14ac:dyDescent="0.3">
      <c r="A51" s="1"/>
      <c r="B51" s="1"/>
      <c r="C51" s="1"/>
      <c r="D51" s="1"/>
      <c r="E51" s="1"/>
      <c r="F51" s="1"/>
      <c r="G51" s="1"/>
      <c r="H51" s="1" t="s">
        <v>218</v>
      </c>
      <c r="I51" s="1" t="s">
        <v>219</v>
      </c>
    </row>
    <row r="52" spans="1:9" ht="115.2" customHeight="1" x14ac:dyDescent="0.3">
      <c r="A52" s="1"/>
      <c r="B52" s="1"/>
      <c r="C52" s="1"/>
      <c r="D52" s="1"/>
      <c r="E52" s="1"/>
      <c r="F52" s="1"/>
      <c r="G52" s="1"/>
      <c r="H52" s="1" t="s">
        <v>220</v>
      </c>
      <c r="I52" s="1" t="s">
        <v>74</v>
      </c>
    </row>
    <row r="53" spans="1:9" ht="115.2" customHeight="1" x14ac:dyDescent="0.3">
      <c r="A53" s="1"/>
      <c r="B53" s="1"/>
      <c r="C53" s="1"/>
      <c r="D53" s="1"/>
      <c r="E53" s="1"/>
      <c r="F53" s="1"/>
      <c r="G53" s="1"/>
      <c r="H53" s="1" t="s">
        <v>221</v>
      </c>
      <c r="I53" s="1" t="s">
        <v>222</v>
      </c>
    </row>
    <row r="54" spans="1:9" ht="158.4" customHeight="1" x14ac:dyDescent="0.3">
      <c r="A54" s="1"/>
      <c r="B54" s="1"/>
      <c r="C54" s="1"/>
      <c r="D54" s="1"/>
      <c r="E54" s="1"/>
      <c r="F54" s="1"/>
      <c r="G54" s="1"/>
      <c r="H54" s="1" t="s">
        <v>223</v>
      </c>
      <c r="I54" s="1" t="s">
        <v>224</v>
      </c>
    </row>
    <row r="55" spans="1:9" ht="129.6" customHeight="1" x14ac:dyDescent="0.3">
      <c r="A55" s="1"/>
      <c r="B55" s="1"/>
      <c r="C55" s="1"/>
      <c r="D55" s="1"/>
      <c r="E55" s="1"/>
      <c r="F55" s="1"/>
      <c r="G55" s="1"/>
      <c r="H55" s="1" t="s">
        <v>225</v>
      </c>
      <c r="I55" s="1" t="s">
        <v>67</v>
      </c>
    </row>
    <row r="56" spans="1:9" ht="115.2" customHeight="1" x14ac:dyDescent="0.3">
      <c r="A56" s="1"/>
      <c r="B56" s="1"/>
      <c r="C56" s="1"/>
      <c r="D56" s="1"/>
      <c r="E56" s="1"/>
      <c r="F56" s="1"/>
      <c r="G56" s="1"/>
      <c r="H56" s="1" t="s">
        <v>226</v>
      </c>
      <c r="I56" s="1" t="s">
        <v>227</v>
      </c>
    </row>
    <row r="57" spans="1:9" ht="86.4" customHeight="1" x14ac:dyDescent="0.3">
      <c r="A57" s="1"/>
      <c r="B57" s="1"/>
      <c r="C57" s="1"/>
      <c r="D57" s="1"/>
      <c r="E57" s="1"/>
      <c r="F57" s="1"/>
      <c r="G57" s="1"/>
      <c r="H57" s="1" t="s">
        <v>228</v>
      </c>
      <c r="I57" s="1" t="s">
        <v>229</v>
      </c>
    </row>
    <row r="58" spans="1:9" ht="115.2" customHeight="1" x14ac:dyDescent="0.3">
      <c r="A58" s="1"/>
      <c r="B58" s="1"/>
      <c r="C58" s="1"/>
      <c r="D58" s="1"/>
      <c r="E58" s="1"/>
      <c r="F58" s="1"/>
      <c r="G58" s="1"/>
      <c r="H58" s="1" t="s">
        <v>230</v>
      </c>
      <c r="I58" s="1" t="s">
        <v>231</v>
      </c>
    </row>
    <row r="59" spans="1:9" ht="144" customHeight="1" x14ac:dyDescent="0.3">
      <c r="A59" s="1"/>
      <c r="B59" s="1"/>
      <c r="C59" s="1"/>
      <c r="D59" s="1"/>
      <c r="E59" s="1"/>
      <c r="F59" s="1"/>
      <c r="G59" s="1"/>
      <c r="H59" s="1" t="s">
        <v>232</v>
      </c>
      <c r="I59" s="1" t="s">
        <v>233</v>
      </c>
    </row>
    <row r="60" spans="1:9" ht="57.6" customHeight="1" x14ac:dyDescent="0.3">
      <c r="A60" s="1"/>
      <c r="B60" s="1"/>
      <c r="C60" s="1"/>
      <c r="D60" s="1"/>
      <c r="E60" s="1"/>
      <c r="F60" s="1"/>
      <c r="G60" s="1"/>
      <c r="H60" s="1" t="s">
        <v>234</v>
      </c>
      <c r="I60" s="1" t="s">
        <v>235</v>
      </c>
    </row>
    <row r="61" spans="1:9" ht="86.4" customHeight="1" x14ac:dyDescent="0.3">
      <c r="A61" s="1"/>
      <c r="B61" s="1"/>
      <c r="C61" s="1"/>
      <c r="D61" s="1"/>
      <c r="E61" s="1"/>
      <c r="F61" s="1"/>
      <c r="G61" s="1"/>
      <c r="H61" s="1" t="s">
        <v>236</v>
      </c>
      <c r="I61" s="1" t="s">
        <v>237</v>
      </c>
    </row>
    <row r="62" spans="1:9" ht="86.4" customHeight="1" x14ac:dyDescent="0.3">
      <c r="A62" s="1"/>
      <c r="B62" s="1"/>
      <c r="C62" s="1"/>
      <c r="D62" s="1"/>
      <c r="E62" s="1"/>
      <c r="F62" s="1"/>
      <c r="G62" s="1"/>
      <c r="H62" s="1" t="s">
        <v>238</v>
      </c>
      <c r="I62" s="1" t="s">
        <v>239</v>
      </c>
    </row>
    <row r="63" spans="1:9" ht="28.8" customHeight="1" x14ac:dyDescent="0.3">
      <c r="A63" s="1"/>
      <c r="B63" s="1"/>
      <c r="C63" s="1"/>
      <c r="D63" s="1"/>
      <c r="E63" s="1"/>
      <c r="F63" s="1"/>
      <c r="G63" s="1"/>
      <c r="H63" s="1" t="s">
        <v>240</v>
      </c>
      <c r="I63" s="1" t="s">
        <v>241</v>
      </c>
    </row>
    <row r="64" spans="1:9" ht="72" customHeight="1" x14ac:dyDescent="0.3">
      <c r="A64" s="1"/>
      <c r="B64" s="1"/>
      <c r="C64" s="1"/>
      <c r="D64" s="1"/>
      <c r="E64" s="1"/>
      <c r="F64" s="1"/>
      <c r="G64" s="1"/>
      <c r="H64" s="1" t="s">
        <v>14</v>
      </c>
      <c r="I64" s="1" t="s">
        <v>242</v>
      </c>
    </row>
    <row r="65" spans="1:9" ht="158.4" customHeight="1" x14ac:dyDescent="0.3">
      <c r="A65" s="1"/>
      <c r="B65" s="1"/>
      <c r="C65" s="1"/>
      <c r="D65" s="1"/>
      <c r="E65" s="1"/>
      <c r="F65" s="1"/>
      <c r="G65" s="1"/>
      <c r="H65" s="1" t="s">
        <v>24</v>
      </c>
      <c r="I65" s="1" t="s">
        <v>243</v>
      </c>
    </row>
    <row r="66" spans="1:9" ht="86.4" customHeight="1" x14ac:dyDescent="0.3">
      <c r="A66" s="1"/>
      <c r="B66" s="1"/>
      <c r="C66" s="1"/>
      <c r="D66" s="1"/>
      <c r="E66" s="1"/>
      <c r="F66" s="1"/>
      <c r="G66" s="1"/>
      <c r="H66" s="1" t="s">
        <v>26</v>
      </c>
      <c r="I66" s="1" t="s">
        <v>244</v>
      </c>
    </row>
    <row r="67" spans="1:9" ht="28.8" customHeight="1" x14ac:dyDescent="0.3">
      <c r="A67" s="1"/>
      <c r="B67" s="1"/>
      <c r="C67" s="1"/>
      <c r="D67" s="1"/>
      <c r="E67" s="1"/>
      <c r="F67" s="1"/>
      <c r="G67" s="1"/>
      <c r="H67" s="1" t="s">
        <v>245</v>
      </c>
      <c r="I67" s="1" t="s">
        <v>246</v>
      </c>
    </row>
    <row r="68" spans="1:9" ht="43.2" customHeight="1" x14ac:dyDescent="0.3">
      <c r="A68" s="1"/>
      <c r="B68" s="1"/>
      <c r="C68" s="1"/>
      <c r="D68" s="1"/>
      <c r="E68" s="1"/>
      <c r="F68" s="1"/>
      <c r="G68" s="1"/>
      <c r="H68" s="1" t="s">
        <v>247</v>
      </c>
      <c r="I68" s="1" t="s">
        <v>248</v>
      </c>
    </row>
    <row r="69" spans="1:9" ht="115.2" customHeight="1" x14ac:dyDescent="0.3">
      <c r="A69" s="1"/>
      <c r="B69" s="1"/>
      <c r="C69" s="1"/>
      <c r="D69" s="1"/>
      <c r="E69" s="1"/>
      <c r="F69" s="1"/>
      <c r="G69" s="1"/>
      <c r="H69" s="1" t="s">
        <v>249</v>
      </c>
      <c r="I69" s="1" t="s">
        <v>250</v>
      </c>
    </row>
    <row r="70" spans="1:9" x14ac:dyDescent="0.3">
      <c r="A70" s="1"/>
      <c r="B70" s="1"/>
      <c r="C70" s="1"/>
      <c r="D70" s="1"/>
      <c r="E70" s="1"/>
      <c r="F70" s="1"/>
      <c r="G70" s="1"/>
      <c r="H70" s="1" t="s">
        <v>251</v>
      </c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 t="s">
        <v>28</v>
      </c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 t="s">
        <v>30</v>
      </c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 t="s">
        <v>32</v>
      </c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 t="s">
        <v>252</v>
      </c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 t="s">
        <v>253</v>
      </c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 t="s">
        <v>254</v>
      </c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 t="s">
        <v>255</v>
      </c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 t="s">
        <v>256</v>
      </c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 t="s">
        <v>257</v>
      </c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 t="s">
        <v>258</v>
      </c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 t="s">
        <v>22</v>
      </c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 t="s">
        <v>259</v>
      </c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 t="s">
        <v>260</v>
      </c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 t="s">
        <v>261</v>
      </c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 t="s">
        <v>262</v>
      </c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 t="s">
        <v>263</v>
      </c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 t="s">
        <v>264</v>
      </c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 t="s">
        <v>265</v>
      </c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 t="s">
        <v>266</v>
      </c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 t="s">
        <v>267</v>
      </c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 t="s">
        <v>268</v>
      </c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 t="s">
        <v>269</v>
      </c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 t="s">
        <v>270</v>
      </c>
      <c r="I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3"/>
  <sheetViews>
    <sheetView rightToLeft="1" workbookViewId="0">
      <selection activeCell="F32" sqref="F32"/>
    </sheetView>
  </sheetViews>
  <sheetFormatPr defaultRowHeight="14.4" x14ac:dyDescent="0.3"/>
  <cols>
    <col min="1" max="1" width="27" customWidth="1"/>
    <col min="2" max="2" width="60" customWidth="1"/>
    <col min="3" max="3" width="31" customWidth="1"/>
    <col min="4" max="4" width="28" customWidth="1"/>
    <col min="5" max="5" width="18" customWidth="1"/>
    <col min="6" max="6" width="20" customWidth="1"/>
    <col min="7" max="7" width="17" customWidth="1"/>
    <col min="8" max="8" width="20" customWidth="1"/>
    <col min="9" max="9" width="30" customWidth="1"/>
    <col min="10" max="10" width="13" customWidth="1"/>
  </cols>
  <sheetData>
    <row r="1" spans="1:13" ht="24" customHeight="1" x14ac:dyDescent="0.3">
      <c r="A1" s="7" t="s">
        <v>59</v>
      </c>
      <c r="B1" s="7" t="s">
        <v>271</v>
      </c>
      <c r="C1" s="7" t="s">
        <v>272</v>
      </c>
      <c r="D1" s="7" t="s">
        <v>273</v>
      </c>
      <c r="E1" s="7" t="s">
        <v>60</v>
      </c>
      <c r="F1" s="7" t="s">
        <v>61</v>
      </c>
      <c r="G1" s="7" t="s">
        <v>274</v>
      </c>
      <c r="H1" s="7" t="s">
        <v>275</v>
      </c>
      <c r="I1" s="7" t="s">
        <v>276</v>
      </c>
      <c r="J1" s="7" t="s">
        <v>277</v>
      </c>
      <c r="K1" s="7" t="s">
        <v>278</v>
      </c>
      <c r="L1" s="7" t="s">
        <v>279</v>
      </c>
      <c r="M1" s="7" t="s">
        <v>280</v>
      </c>
    </row>
    <row r="2" spans="1:13" ht="28.8" customHeight="1" x14ac:dyDescent="0.3">
      <c r="A2" s="2" t="s">
        <v>108</v>
      </c>
      <c r="B2" s="2" t="s">
        <v>100</v>
      </c>
      <c r="C2" s="2" t="s">
        <v>281</v>
      </c>
      <c r="D2" s="2" t="s">
        <v>56</v>
      </c>
      <c r="E2" s="2" t="s">
        <v>118</v>
      </c>
      <c r="F2" s="4">
        <v>0.25</v>
      </c>
      <c r="G2" s="3">
        <v>45931</v>
      </c>
      <c r="H2" s="3">
        <v>46142</v>
      </c>
      <c r="I2" s="2" t="s">
        <v>119</v>
      </c>
      <c r="J2" s="2"/>
      <c r="K2">
        <f>COUNTIF(Link_Project_Req!$A$2:$A$68,$A2)</f>
        <v>1</v>
      </c>
      <c r="L2">
        <f>COUNTIF(Link_Project_Gap!$A$2:$A$112,$A2)</f>
        <v>2</v>
      </c>
      <c r="M2" s="14">
        <f t="shared" ref="M2:M33" si="0">IF($F2="",0,$F2)</f>
        <v>0.25</v>
      </c>
    </row>
    <row r="3" spans="1:13" ht="43.2" customHeight="1" x14ac:dyDescent="0.3">
      <c r="A3" s="2" t="s">
        <v>70</v>
      </c>
      <c r="B3" s="2" t="s">
        <v>100</v>
      </c>
      <c r="C3" s="2" t="s">
        <v>282</v>
      </c>
      <c r="D3" s="2" t="s">
        <v>283</v>
      </c>
      <c r="E3" s="2" t="s">
        <v>118</v>
      </c>
      <c r="F3" s="4">
        <v>0.7</v>
      </c>
      <c r="G3" s="3">
        <v>45658</v>
      </c>
      <c r="H3" s="3">
        <v>46387</v>
      </c>
      <c r="I3" s="2" t="s">
        <v>119</v>
      </c>
      <c r="J3" s="2"/>
      <c r="K3">
        <f>COUNTIF(Link_Project_Req!$A$2:$A$68,$A3)</f>
        <v>6</v>
      </c>
      <c r="L3">
        <f>COUNTIF(Link_Project_Gap!$A$2:$A$112,$A3)</f>
        <v>7</v>
      </c>
      <c r="M3" s="14">
        <f t="shared" si="0"/>
        <v>0.7</v>
      </c>
    </row>
    <row r="4" spans="1:13" ht="28.8" customHeight="1" x14ac:dyDescent="0.3">
      <c r="A4" s="2" t="s">
        <v>127</v>
      </c>
      <c r="B4" s="2"/>
      <c r="C4" s="2"/>
      <c r="D4" s="2"/>
      <c r="E4" s="2" t="s">
        <v>118</v>
      </c>
      <c r="F4" s="4">
        <v>0.4</v>
      </c>
      <c r="G4" s="3">
        <v>45901</v>
      </c>
      <c r="H4" s="3">
        <v>46203</v>
      </c>
      <c r="I4" s="2" t="s">
        <v>284</v>
      </c>
      <c r="J4" s="2"/>
      <c r="K4">
        <f>COUNTIF(Link_Project_Req!$A$2:$A$68,$A4)</f>
        <v>0</v>
      </c>
      <c r="L4">
        <f>COUNTIF(Link_Project_Gap!$A$2:$A$112,$A4)</f>
        <v>0</v>
      </c>
      <c r="M4" s="14">
        <f t="shared" si="0"/>
        <v>0.4</v>
      </c>
    </row>
    <row r="5" spans="1:13" ht="28.8" customHeight="1" x14ac:dyDescent="0.3">
      <c r="A5" s="2" t="s">
        <v>133</v>
      </c>
      <c r="B5" s="2"/>
      <c r="C5" s="2"/>
      <c r="D5" s="2"/>
      <c r="E5" s="2" t="s">
        <v>118</v>
      </c>
      <c r="F5" s="4">
        <v>0.4</v>
      </c>
      <c r="G5" s="3">
        <v>45901</v>
      </c>
      <c r="H5" s="3">
        <v>46203</v>
      </c>
      <c r="I5" s="2" t="s">
        <v>284</v>
      </c>
      <c r="J5" s="2"/>
      <c r="K5">
        <f>COUNTIF(Link_Project_Req!$A$2:$A$68,$A5)</f>
        <v>0</v>
      </c>
      <c r="L5">
        <f>COUNTIF(Link_Project_Gap!$A$2:$A$112,$A5)</f>
        <v>0</v>
      </c>
      <c r="M5" s="14">
        <f t="shared" si="0"/>
        <v>0.4</v>
      </c>
    </row>
    <row r="6" spans="1:13" ht="28.8" customHeight="1" x14ac:dyDescent="0.3">
      <c r="A6" s="2" t="s">
        <v>139</v>
      </c>
      <c r="B6" s="2" t="s">
        <v>120</v>
      </c>
      <c r="C6" s="2" t="s">
        <v>260</v>
      </c>
      <c r="D6" s="2" t="s">
        <v>285</v>
      </c>
      <c r="E6" s="2" t="s">
        <v>118</v>
      </c>
      <c r="F6" s="4">
        <v>0.55000000000000004</v>
      </c>
      <c r="G6" s="3">
        <v>45839</v>
      </c>
      <c r="H6" s="3">
        <v>46112</v>
      </c>
      <c r="I6" s="2" t="s">
        <v>286</v>
      </c>
      <c r="J6" s="2"/>
      <c r="K6">
        <f>COUNTIF(Link_Project_Req!$A$2:$A$68,$A6)</f>
        <v>1</v>
      </c>
      <c r="L6">
        <f>COUNTIF(Link_Project_Gap!$A$2:$A$112,$A6)</f>
        <v>1</v>
      </c>
      <c r="M6" s="14">
        <f t="shared" si="0"/>
        <v>0.55000000000000004</v>
      </c>
    </row>
    <row r="7" spans="1:13" ht="28.8" customHeight="1" x14ac:dyDescent="0.3">
      <c r="A7" s="2" t="s">
        <v>144</v>
      </c>
      <c r="B7" s="2"/>
      <c r="C7" s="2"/>
      <c r="D7" s="2"/>
      <c r="E7" s="2" t="s">
        <v>118</v>
      </c>
      <c r="F7" s="4">
        <v>0.8</v>
      </c>
      <c r="G7" s="3">
        <v>45809</v>
      </c>
      <c r="H7" s="3">
        <v>46387</v>
      </c>
      <c r="I7" s="2" t="s">
        <v>284</v>
      </c>
      <c r="J7" s="2"/>
      <c r="K7">
        <f>COUNTIF(Link_Project_Req!$A$2:$A$68,$A7)</f>
        <v>0</v>
      </c>
      <c r="L7">
        <f>COUNTIF(Link_Project_Gap!$A$2:$A$112,$A7)</f>
        <v>0</v>
      </c>
      <c r="M7" s="14">
        <f t="shared" si="0"/>
        <v>0.8</v>
      </c>
    </row>
    <row r="8" spans="1:13" ht="28.8" customHeight="1" x14ac:dyDescent="0.3">
      <c r="A8" s="2" t="s">
        <v>147</v>
      </c>
      <c r="B8" s="2"/>
      <c r="C8" s="2"/>
      <c r="D8" s="2"/>
      <c r="E8" s="2" t="s">
        <v>118</v>
      </c>
      <c r="F8" s="4">
        <v>0.25</v>
      </c>
      <c r="G8" s="3">
        <v>45931</v>
      </c>
      <c r="H8" s="3">
        <v>46142</v>
      </c>
      <c r="I8" s="2" t="s">
        <v>284</v>
      </c>
      <c r="J8" s="2"/>
      <c r="K8">
        <f>COUNTIF(Link_Project_Req!$A$2:$A$68,$A8)</f>
        <v>0</v>
      </c>
      <c r="L8">
        <f>COUNTIF(Link_Project_Gap!$A$2:$A$112,$A8)</f>
        <v>0</v>
      </c>
      <c r="M8" s="14">
        <f t="shared" si="0"/>
        <v>0.25</v>
      </c>
    </row>
    <row r="9" spans="1:13" ht="43.2" customHeight="1" x14ac:dyDescent="0.3">
      <c r="A9" s="2" t="s">
        <v>150</v>
      </c>
      <c r="B9" s="2" t="s">
        <v>120</v>
      </c>
      <c r="C9" s="2" t="s">
        <v>287</v>
      </c>
      <c r="D9" s="2" t="s">
        <v>288</v>
      </c>
      <c r="E9" s="2" t="s">
        <v>118</v>
      </c>
      <c r="F9" s="4">
        <v>0.4</v>
      </c>
      <c r="G9" s="3">
        <v>45901</v>
      </c>
      <c r="H9" s="3">
        <v>46203</v>
      </c>
      <c r="I9" s="2" t="s">
        <v>286</v>
      </c>
      <c r="J9" s="2"/>
      <c r="K9">
        <f>COUNTIF(Link_Project_Req!$A$2:$A$68,$A9)</f>
        <v>1</v>
      </c>
      <c r="L9">
        <f>COUNTIF(Link_Project_Gap!$A$2:$A$112,$A9)</f>
        <v>2</v>
      </c>
      <c r="M9" s="14">
        <f t="shared" si="0"/>
        <v>0.4</v>
      </c>
    </row>
    <row r="10" spans="1:13" ht="28.8" customHeight="1" x14ac:dyDescent="0.3">
      <c r="A10" s="2" t="s">
        <v>152</v>
      </c>
      <c r="B10" s="2"/>
      <c r="C10" s="2"/>
      <c r="D10" s="2"/>
      <c r="E10" s="2" t="s">
        <v>118</v>
      </c>
      <c r="F10" s="4">
        <v>0.25</v>
      </c>
      <c r="G10" s="3">
        <v>45931</v>
      </c>
      <c r="H10" s="3">
        <v>46142</v>
      </c>
      <c r="I10" s="2" t="s">
        <v>284</v>
      </c>
      <c r="J10" s="2"/>
      <c r="K10">
        <f>COUNTIF(Link_Project_Req!$A$2:$A$68,$A10)</f>
        <v>0</v>
      </c>
      <c r="L10">
        <f>COUNTIF(Link_Project_Gap!$A$2:$A$112,$A10)</f>
        <v>0</v>
      </c>
      <c r="M10" s="14">
        <f t="shared" si="0"/>
        <v>0.25</v>
      </c>
    </row>
    <row r="11" spans="1:13" ht="28.8" customHeight="1" x14ac:dyDescent="0.3">
      <c r="A11" s="2" t="s">
        <v>154</v>
      </c>
      <c r="B11" s="2"/>
      <c r="C11" s="2"/>
      <c r="D11" s="2"/>
      <c r="E11" s="2" t="s">
        <v>118</v>
      </c>
      <c r="F11" s="4">
        <v>0.25</v>
      </c>
      <c r="G11" s="3">
        <v>45931</v>
      </c>
      <c r="H11" s="3">
        <v>46142</v>
      </c>
      <c r="I11" s="2" t="s">
        <v>284</v>
      </c>
      <c r="J11" s="2"/>
      <c r="K11">
        <f>COUNTIF(Link_Project_Req!$A$2:$A$68,$A11)</f>
        <v>0</v>
      </c>
      <c r="L11">
        <f>COUNTIF(Link_Project_Gap!$A$2:$A$112,$A11)</f>
        <v>0</v>
      </c>
      <c r="M11" s="14">
        <f t="shared" si="0"/>
        <v>0.25</v>
      </c>
    </row>
    <row r="12" spans="1:13" ht="28.8" customHeight="1" x14ac:dyDescent="0.3">
      <c r="A12" s="2" t="s">
        <v>156</v>
      </c>
      <c r="B12" s="2"/>
      <c r="C12" s="2"/>
      <c r="D12" s="2"/>
      <c r="E12" s="2" t="s">
        <v>109</v>
      </c>
      <c r="F12" s="4">
        <v>0</v>
      </c>
      <c r="G12" s="3">
        <v>46023</v>
      </c>
      <c r="H12" s="3">
        <v>46387</v>
      </c>
      <c r="I12" s="2" t="s">
        <v>284</v>
      </c>
      <c r="J12" s="2"/>
      <c r="K12">
        <f>COUNTIF(Link_Project_Req!$A$2:$A$68,$A12)</f>
        <v>0</v>
      </c>
      <c r="L12">
        <f>COUNTIF(Link_Project_Gap!$A$2:$A$112,$A12)</f>
        <v>0</v>
      </c>
      <c r="M12" s="14">
        <f t="shared" si="0"/>
        <v>0</v>
      </c>
    </row>
    <row r="13" spans="1:13" ht="28.8" customHeight="1" x14ac:dyDescent="0.3">
      <c r="A13" s="2" t="s">
        <v>158</v>
      </c>
      <c r="B13" s="2" t="s">
        <v>120</v>
      </c>
      <c r="C13" s="2" t="s">
        <v>289</v>
      </c>
      <c r="D13" s="2" t="s">
        <v>290</v>
      </c>
      <c r="E13" s="2" t="s">
        <v>109</v>
      </c>
      <c r="F13" s="4">
        <v>0</v>
      </c>
      <c r="G13" s="3">
        <v>46023</v>
      </c>
      <c r="H13" s="3">
        <v>46387</v>
      </c>
      <c r="I13" s="2" t="s">
        <v>286</v>
      </c>
      <c r="J13" s="2"/>
      <c r="K13">
        <f>COUNTIF(Link_Project_Req!$A$2:$A$68,$A13)</f>
        <v>1</v>
      </c>
      <c r="L13">
        <f>COUNTIF(Link_Project_Gap!$A$2:$A$112,$A13)</f>
        <v>2</v>
      </c>
      <c r="M13" s="14">
        <f t="shared" si="0"/>
        <v>0</v>
      </c>
    </row>
    <row r="14" spans="1:13" ht="28.8" customHeight="1" x14ac:dyDescent="0.3">
      <c r="A14" s="2" t="s">
        <v>160</v>
      </c>
      <c r="B14" s="2"/>
      <c r="C14" s="2"/>
      <c r="D14" s="2"/>
      <c r="E14" s="2" t="s">
        <v>128</v>
      </c>
      <c r="F14" s="4">
        <v>1</v>
      </c>
      <c r="G14" s="3">
        <v>45962</v>
      </c>
      <c r="H14" s="3">
        <v>46022</v>
      </c>
      <c r="I14" s="2" t="s">
        <v>284</v>
      </c>
      <c r="J14" s="2"/>
      <c r="K14">
        <f>COUNTIF(Link_Project_Req!$A$2:$A$68,$A14)</f>
        <v>0</v>
      </c>
      <c r="L14">
        <f>COUNTIF(Link_Project_Gap!$A$2:$A$112,$A14)</f>
        <v>0</v>
      </c>
      <c r="M14" s="14">
        <f t="shared" si="0"/>
        <v>1</v>
      </c>
    </row>
    <row r="15" spans="1:13" x14ac:dyDescent="0.3">
      <c r="A15" s="2" t="s">
        <v>162</v>
      </c>
      <c r="B15" s="2"/>
      <c r="C15" s="2"/>
      <c r="D15" s="2"/>
      <c r="E15" s="2" t="s">
        <v>128</v>
      </c>
      <c r="F15" s="4">
        <v>1</v>
      </c>
      <c r="G15" s="3">
        <v>45962</v>
      </c>
      <c r="H15" s="3">
        <v>46022</v>
      </c>
      <c r="I15" s="2" t="s">
        <v>284</v>
      </c>
      <c r="J15" s="2"/>
      <c r="K15">
        <f>COUNTIF(Link_Project_Req!$A$2:$A$68,$A15)</f>
        <v>0</v>
      </c>
      <c r="L15">
        <f>COUNTIF(Link_Project_Gap!$A$2:$A$112,$A15)</f>
        <v>0</v>
      </c>
      <c r="M15" s="14">
        <f t="shared" si="0"/>
        <v>1</v>
      </c>
    </row>
    <row r="16" spans="1:13" ht="28.8" customHeight="1" x14ac:dyDescent="0.3">
      <c r="A16" s="2" t="s">
        <v>164</v>
      </c>
      <c r="B16" s="2"/>
      <c r="C16" s="2"/>
      <c r="D16" s="2"/>
      <c r="E16" s="2" t="s">
        <v>118</v>
      </c>
      <c r="F16" s="4">
        <v>0.25</v>
      </c>
      <c r="G16" s="3">
        <v>45931</v>
      </c>
      <c r="H16" s="3">
        <v>46142</v>
      </c>
      <c r="I16" s="2" t="s">
        <v>284</v>
      </c>
      <c r="J16" s="2"/>
      <c r="K16">
        <f>COUNTIF(Link_Project_Req!$A$2:$A$68,$A16)</f>
        <v>0</v>
      </c>
      <c r="L16">
        <f>COUNTIF(Link_Project_Gap!$A$2:$A$112,$A16)</f>
        <v>0</v>
      </c>
      <c r="M16" s="14">
        <f t="shared" si="0"/>
        <v>0.25</v>
      </c>
    </row>
    <row r="17" spans="1:13" ht="28.8" customHeight="1" x14ac:dyDescent="0.3">
      <c r="A17" s="2" t="s">
        <v>166</v>
      </c>
      <c r="B17" s="2"/>
      <c r="C17" s="2"/>
      <c r="D17" s="2"/>
      <c r="E17" s="2" t="s">
        <v>118</v>
      </c>
      <c r="F17" s="4">
        <v>0.25</v>
      </c>
      <c r="G17" s="3">
        <v>45931</v>
      </c>
      <c r="H17" s="3">
        <v>46142</v>
      </c>
      <c r="I17" s="2" t="s">
        <v>284</v>
      </c>
      <c r="J17" s="2"/>
      <c r="K17">
        <f>COUNTIF(Link_Project_Req!$A$2:$A$68,$A17)</f>
        <v>0</v>
      </c>
      <c r="L17">
        <f>COUNTIF(Link_Project_Gap!$A$2:$A$112,$A17)</f>
        <v>0</v>
      </c>
      <c r="M17" s="14">
        <f t="shared" si="0"/>
        <v>0.25</v>
      </c>
    </row>
    <row r="18" spans="1:13" ht="28.8" customHeight="1" x14ac:dyDescent="0.3">
      <c r="A18" s="2" t="s">
        <v>168</v>
      </c>
      <c r="B18" s="2"/>
      <c r="C18" s="2"/>
      <c r="D18" s="2"/>
      <c r="E18" s="2" t="s">
        <v>118</v>
      </c>
      <c r="F18" s="4">
        <v>0.35</v>
      </c>
      <c r="G18" s="3">
        <v>45931</v>
      </c>
      <c r="H18" s="3">
        <v>46295</v>
      </c>
      <c r="I18" s="2" t="s">
        <v>284</v>
      </c>
      <c r="J18" s="2"/>
      <c r="K18">
        <f>COUNTIF(Link_Project_Req!$A$2:$A$68,$A18)</f>
        <v>0</v>
      </c>
      <c r="L18">
        <f>COUNTIF(Link_Project_Gap!$A$2:$A$112,$A18)</f>
        <v>0</v>
      </c>
      <c r="M18" s="14">
        <f t="shared" si="0"/>
        <v>0.35</v>
      </c>
    </row>
    <row r="19" spans="1:13" ht="57.6" customHeight="1" x14ac:dyDescent="0.3">
      <c r="A19" s="2" t="s">
        <v>170</v>
      </c>
      <c r="B19" s="2"/>
      <c r="C19" s="2"/>
      <c r="D19" s="2"/>
      <c r="E19" s="2" t="s">
        <v>118</v>
      </c>
      <c r="F19" s="4">
        <v>0.8</v>
      </c>
      <c r="G19" s="3">
        <v>45809</v>
      </c>
      <c r="H19" s="3">
        <v>46387</v>
      </c>
      <c r="I19" s="2" t="s">
        <v>284</v>
      </c>
      <c r="J19" s="2"/>
      <c r="K19">
        <f>COUNTIF(Link_Project_Req!$A$2:$A$68,$A19)</f>
        <v>0</v>
      </c>
      <c r="L19">
        <f>COUNTIF(Link_Project_Gap!$A$2:$A$112,$A19)</f>
        <v>0</v>
      </c>
      <c r="M19" s="14">
        <f t="shared" si="0"/>
        <v>0.8</v>
      </c>
    </row>
    <row r="20" spans="1:13" x14ac:dyDescent="0.3">
      <c r="A20" s="2" t="s">
        <v>172</v>
      </c>
      <c r="B20" s="2"/>
      <c r="C20" s="2"/>
      <c r="D20" s="2"/>
      <c r="E20" s="2" t="s">
        <v>291</v>
      </c>
      <c r="F20" s="4">
        <v>0.25</v>
      </c>
      <c r="G20" s="3">
        <v>1</v>
      </c>
      <c r="H20" s="3">
        <v>45852</v>
      </c>
      <c r="I20" s="3">
        <v>46583</v>
      </c>
      <c r="J20" s="2"/>
      <c r="K20">
        <f>COUNTIF(Link_Project_Req!$A$2:$A$68,$A20)</f>
        <v>0</v>
      </c>
      <c r="L20">
        <f>COUNTIF(Link_Project_Gap!$A$2:$A$112,$A20)</f>
        <v>0</v>
      </c>
      <c r="M20" s="14">
        <f t="shared" si="0"/>
        <v>0.25</v>
      </c>
    </row>
    <row r="21" spans="1:13" ht="28.8" customHeight="1" x14ac:dyDescent="0.3">
      <c r="A21" s="2" t="s">
        <v>80</v>
      </c>
      <c r="B21" s="2" t="s">
        <v>120</v>
      </c>
      <c r="C21" s="2" t="s">
        <v>292</v>
      </c>
      <c r="D21" s="2" t="s">
        <v>293</v>
      </c>
      <c r="E21" s="2" t="s">
        <v>291</v>
      </c>
      <c r="F21" s="4">
        <v>0.45</v>
      </c>
      <c r="G21" s="3">
        <v>0.45</v>
      </c>
      <c r="H21" s="3">
        <v>45946</v>
      </c>
      <c r="I21" s="3">
        <v>47042</v>
      </c>
      <c r="J21" s="2"/>
      <c r="K21">
        <f>COUNTIF(Link_Project_Req!$A$2:$A$68,$A21)</f>
        <v>1</v>
      </c>
      <c r="L21">
        <f>COUNTIF(Link_Project_Gap!$A$2:$A$112,$A21)</f>
        <v>3</v>
      </c>
      <c r="M21" s="14">
        <f t="shared" si="0"/>
        <v>0.45</v>
      </c>
    </row>
    <row r="22" spans="1:13" x14ac:dyDescent="0.3">
      <c r="A22" s="2" t="s">
        <v>175</v>
      </c>
      <c r="B22" s="2"/>
      <c r="C22" s="2"/>
      <c r="D22" s="2"/>
      <c r="E22" s="2" t="s">
        <v>109</v>
      </c>
      <c r="F22" s="4">
        <v>0</v>
      </c>
      <c r="G22" s="3">
        <v>46023</v>
      </c>
      <c r="H22" s="3">
        <v>46387</v>
      </c>
      <c r="I22" s="2" t="s">
        <v>284</v>
      </c>
      <c r="J22" s="2"/>
      <c r="K22">
        <f>COUNTIF(Link_Project_Req!$A$2:$A$68,$A22)</f>
        <v>0</v>
      </c>
      <c r="L22">
        <f>COUNTIF(Link_Project_Gap!$A$2:$A$112,$A22)</f>
        <v>0</v>
      </c>
      <c r="M22" s="14">
        <f t="shared" si="0"/>
        <v>0</v>
      </c>
    </row>
    <row r="23" spans="1:13" ht="28.8" customHeight="1" x14ac:dyDescent="0.3">
      <c r="A23" s="2" t="s">
        <v>177</v>
      </c>
      <c r="B23" s="2"/>
      <c r="C23" s="2"/>
      <c r="D23" s="2"/>
      <c r="E23" s="2" t="s">
        <v>109</v>
      </c>
      <c r="F23" s="4">
        <v>0</v>
      </c>
      <c r="G23" s="3">
        <v>46023</v>
      </c>
      <c r="H23" s="3">
        <v>46387</v>
      </c>
      <c r="I23" s="2" t="s">
        <v>284</v>
      </c>
      <c r="J23" s="2"/>
      <c r="K23">
        <f>COUNTIF(Link_Project_Req!$A$2:$A$68,$A23)</f>
        <v>0</v>
      </c>
      <c r="L23">
        <f>COUNTIF(Link_Project_Gap!$A$2:$A$112,$A23)</f>
        <v>0</v>
      </c>
      <c r="M23" s="14">
        <f t="shared" si="0"/>
        <v>0</v>
      </c>
    </row>
    <row r="24" spans="1:13" ht="28.8" customHeight="1" x14ac:dyDescent="0.3">
      <c r="A24" s="2" t="s">
        <v>179</v>
      </c>
      <c r="B24" s="2" t="s">
        <v>100</v>
      </c>
      <c r="C24" s="2" t="s">
        <v>294</v>
      </c>
      <c r="D24" s="2" t="s">
        <v>295</v>
      </c>
      <c r="E24" s="2" t="s">
        <v>118</v>
      </c>
      <c r="F24" s="4">
        <v>0.35</v>
      </c>
      <c r="G24" s="3">
        <v>45931</v>
      </c>
      <c r="H24" s="3">
        <v>46295</v>
      </c>
      <c r="I24" s="2" t="s">
        <v>119</v>
      </c>
      <c r="J24" s="2"/>
      <c r="K24">
        <f>COUNTIF(Link_Project_Req!$A$2:$A$68,$A24)</f>
        <v>1</v>
      </c>
      <c r="L24">
        <f>COUNTIF(Link_Project_Gap!$A$2:$A$112,$A24)</f>
        <v>2</v>
      </c>
      <c r="M24" s="14">
        <f t="shared" si="0"/>
        <v>0.35</v>
      </c>
    </row>
    <row r="25" spans="1:13" x14ac:dyDescent="0.3">
      <c r="A25" s="2" t="s">
        <v>181</v>
      </c>
      <c r="B25" s="2"/>
      <c r="C25" s="2"/>
      <c r="D25" s="2"/>
      <c r="E25" s="2" t="s">
        <v>291</v>
      </c>
      <c r="F25" s="4">
        <v>0</v>
      </c>
      <c r="G25" s="3">
        <v>0</v>
      </c>
      <c r="H25" s="3">
        <v>46022</v>
      </c>
      <c r="I25" s="3">
        <v>46752</v>
      </c>
      <c r="J25" s="2"/>
      <c r="K25">
        <f>COUNTIF(Link_Project_Req!$A$2:$A$68,$A25)</f>
        <v>0</v>
      </c>
      <c r="L25">
        <f>COUNTIF(Link_Project_Gap!$A$2:$A$112,$A25)</f>
        <v>0</v>
      </c>
      <c r="M25" s="14">
        <f t="shared" si="0"/>
        <v>0</v>
      </c>
    </row>
    <row r="26" spans="1:13" x14ac:dyDescent="0.3">
      <c r="A26" s="2" t="s">
        <v>183</v>
      </c>
      <c r="B26" s="2"/>
      <c r="C26" s="2"/>
      <c r="D26" s="2"/>
      <c r="E26" s="2" t="s">
        <v>109</v>
      </c>
      <c r="F26" s="4">
        <v>0</v>
      </c>
      <c r="G26" s="3">
        <v>46023</v>
      </c>
      <c r="H26" s="3">
        <v>46387</v>
      </c>
      <c r="I26" s="2" t="s">
        <v>284</v>
      </c>
      <c r="J26" s="2"/>
      <c r="K26">
        <f>COUNTIF(Link_Project_Req!$A$2:$A$68,$A26)</f>
        <v>0</v>
      </c>
      <c r="L26">
        <f>COUNTIF(Link_Project_Gap!$A$2:$A$112,$A26)</f>
        <v>0</v>
      </c>
      <c r="M26" s="14">
        <f t="shared" si="0"/>
        <v>0</v>
      </c>
    </row>
    <row r="27" spans="1:13" ht="28.8" customHeight="1" x14ac:dyDescent="0.3">
      <c r="A27" s="2" t="s">
        <v>185</v>
      </c>
      <c r="B27" s="2"/>
      <c r="C27" s="2"/>
      <c r="D27" s="2"/>
      <c r="E27" s="2" t="s">
        <v>118</v>
      </c>
      <c r="F27" s="4">
        <v>0.4</v>
      </c>
      <c r="G27" s="3">
        <v>45901</v>
      </c>
      <c r="H27" s="3">
        <v>46203</v>
      </c>
      <c r="I27" s="2" t="s">
        <v>284</v>
      </c>
      <c r="J27" s="2"/>
      <c r="K27">
        <f>COUNTIF(Link_Project_Req!$A$2:$A$68,$A27)</f>
        <v>0</v>
      </c>
      <c r="L27">
        <f>COUNTIF(Link_Project_Gap!$A$2:$A$112,$A27)</f>
        <v>0</v>
      </c>
      <c r="M27" s="14">
        <f t="shared" si="0"/>
        <v>0.4</v>
      </c>
    </row>
    <row r="28" spans="1:13" ht="28.8" customHeight="1" x14ac:dyDescent="0.3">
      <c r="A28" s="2" t="s">
        <v>75</v>
      </c>
      <c r="B28" s="2" t="s">
        <v>100</v>
      </c>
      <c r="C28" s="2" t="s">
        <v>296</v>
      </c>
      <c r="D28" s="2" t="s">
        <v>297</v>
      </c>
      <c r="E28" s="2" t="s">
        <v>109</v>
      </c>
      <c r="F28" s="4">
        <v>0</v>
      </c>
      <c r="G28" s="3">
        <v>46023</v>
      </c>
      <c r="H28" s="3">
        <v>46387</v>
      </c>
      <c r="I28" s="2" t="s">
        <v>119</v>
      </c>
      <c r="J28" s="2"/>
      <c r="K28">
        <f>COUNTIF(Link_Project_Req!$A$2:$A$68,$A28)</f>
        <v>2</v>
      </c>
      <c r="L28">
        <f>COUNTIF(Link_Project_Gap!$A$2:$A$112,$A28)</f>
        <v>4</v>
      </c>
      <c r="M28" s="14">
        <f t="shared" si="0"/>
        <v>0</v>
      </c>
    </row>
    <row r="29" spans="1:13" ht="28.8" customHeight="1" x14ac:dyDescent="0.3">
      <c r="A29" s="2" t="s">
        <v>76</v>
      </c>
      <c r="B29" s="2" t="s">
        <v>111</v>
      </c>
      <c r="C29" s="2" t="s">
        <v>298</v>
      </c>
      <c r="D29" s="2" t="s">
        <v>299</v>
      </c>
      <c r="E29" s="2" t="s">
        <v>118</v>
      </c>
      <c r="F29" s="4">
        <v>0.4</v>
      </c>
      <c r="G29" s="3">
        <v>45901</v>
      </c>
      <c r="H29" s="3">
        <v>46203</v>
      </c>
      <c r="I29" s="2" t="s">
        <v>300</v>
      </c>
      <c r="J29" s="2"/>
      <c r="K29">
        <f>COUNTIF(Link_Project_Req!$A$2:$A$68,$A29)</f>
        <v>2</v>
      </c>
      <c r="L29">
        <f>COUNTIF(Link_Project_Gap!$A$2:$A$112,$A29)</f>
        <v>4</v>
      </c>
      <c r="M29" s="14">
        <f t="shared" si="0"/>
        <v>0.4</v>
      </c>
    </row>
    <row r="30" spans="1:13" ht="28.8" customHeight="1" x14ac:dyDescent="0.3">
      <c r="A30" s="2" t="s">
        <v>73</v>
      </c>
      <c r="B30" s="2" t="s">
        <v>100</v>
      </c>
      <c r="C30" s="2" t="s">
        <v>301</v>
      </c>
      <c r="D30" s="2" t="s">
        <v>302</v>
      </c>
      <c r="E30" s="2" t="s">
        <v>118</v>
      </c>
      <c r="F30" s="4">
        <v>0.4</v>
      </c>
      <c r="G30" s="3">
        <v>45901</v>
      </c>
      <c r="H30" s="3">
        <v>46203</v>
      </c>
      <c r="I30" s="2" t="s">
        <v>119</v>
      </c>
      <c r="J30" s="2"/>
      <c r="K30">
        <f>COUNTIF(Link_Project_Req!$A$2:$A$68,$A30)</f>
        <v>4</v>
      </c>
      <c r="L30">
        <f>COUNTIF(Link_Project_Gap!$A$2:$A$112,$A30)</f>
        <v>4</v>
      </c>
      <c r="M30" s="14">
        <f t="shared" si="0"/>
        <v>0.4</v>
      </c>
    </row>
    <row r="31" spans="1:13" ht="28.8" customHeight="1" x14ac:dyDescent="0.3">
      <c r="A31" s="2" t="s">
        <v>77</v>
      </c>
      <c r="B31" s="2" t="s">
        <v>111</v>
      </c>
      <c r="C31" s="2" t="s">
        <v>303</v>
      </c>
      <c r="D31" s="2" t="s">
        <v>304</v>
      </c>
      <c r="E31" s="2" t="s">
        <v>109</v>
      </c>
      <c r="F31" s="4">
        <v>0</v>
      </c>
      <c r="G31" s="3">
        <v>46023</v>
      </c>
      <c r="H31" s="3">
        <v>46387</v>
      </c>
      <c r="I31" s="2" t="s">
        <v>300</v>
      </c>
      <c r="J31" s="2"/>
      <c r="K31">
        <f>COUNTIF(Link_Project_Req!$A$2:$A$68,$A31)</f>
        <v>2</v>
      </c>
      <c r="L31">
        <f>COUNTIF(Link_Project_Gap!$A$2:$A$112,$A31)</f>
        <v>4</v>
      </c>
      <c r="M31" s="14">
        <f t="shared" si="0"/>
        <v>0</v>
      </c>
    </row>
    <row r="32" spans="1:13" ht="43.2" customHeight="1" x14ac:dyDescent="0.3">
      <c r="A32" s="2" t="s">
        <v>71</v>
      </c>
      <c r="B32" s="2" t="s">
        <v>100</v>
      </c>
      <c r="C32" s="2" t="s">
        <v>305</v>
      </c>
      <c r="D32" s="2" t="s">
        <v>306</v>
      </c>
      <c r="E32" s="2" t="s">
        <v>109</v>
      </c>
      <c r="F32" s="4">
        <v>0</v>
      </c>
      <c r="G32" s="3">
        <v>46023</v>
      </c>
      <c r="H32" s="3">
        <v>46387</v>
      </c>
      <c r="I32" s="2" t="s">
        <v>119</v>
      </c>
      <c r="J32" s="2"/>
      <c r="K32">
        <f>COUNTIF(Link_Project_Req!$A$2:$A$68,$A32)</f>
        <v>3</v>
      </c>
      <c r="L32">
        <f>COUNTIF(Link_Project_Gap!$A$2:$A$112,$A32)</f>
        <v>7</v>
      </c>
      <c r="M32" s="14">
        <f t="shared" si="0"/>
        <v>0</v>
      </c>
    </row>
    <row r="33" spans="1:13" x14ac:dyDescent="0.3">
      <c r="A33" s="2" t="s">
        <v>192</v>
      </c>
      <c r="B33" s="2"/>
      <c r="C33" s="2"/>
      <c r="D33" s="2"/>
      <c r="E33" s="2" t="s">
        <v>109</v>
      </c>
      <c r="F33" s="4">
        <v>0</v>
      </c>
      <c r="G33" s="3">
        <v>46023</v>
      </c>
      <c r="H33" s="3">
        <v>46387</v>
      </c>
      <c r="I33" s="2" t="s">
        <v>284</v>
      </c>
      <c r="J33" s="2"/>
      <c r="K33">
        <f>COUNTIF(Link_Project_Req!$A$2:$A$68,$A33)</f>
        <v>0</v>
      </c>
      <c r="L33">
        <f>COUNTIF(Link_Project_Gap!$A$2:$A$112,$A33)</f>
        <v>0</v>
      </c>
      <c r="M33" s="14">
        <f t="shared" si="0"/>
        <v>0</v>
      </c>
    </row>
    <row r="34" spans="1:13" x14ac:dyDescent="0.3">
      <c r="A34" s="2" t="s">
        <v>81</v>
      </c>
      <c r="B34" s="2" t="s">
        <v>100</v>
      </c>
      <c r="C34" s="2" t="s">
        <v>307</v>
      </c>
      <c r="D34" s="2" t="s">
        <v>308</v>
      </c>
      <c r="E34" s="2" t="s">
        <v>109</v>
      </c>
      <c r="F34" s="4">
        <v>0</v>
      </c>
      <c r="G34" s="3">
        <v>46023</v>
      </c>
      <c r="H34" s="3">
        <v>46387</v>
      </c>
      <c r="I34" s="2" t="s">
        <v>119</v>
      </c>
      <c r="J34" s="2"/>
      <c r="K34">
        <f>COUNTIF(Link_Project_Req!$A$2:$A$68,$A34)</f>
        <v>2</v>
      </c>
      <c r="L34">
        <f>COUNTIF(Link_Project_Gap!$A$2:$A$112,$A34)</f>
        <v>2</v>
      </c>
      <c r="M34" s="14">
        <f t="shared" ref="M34:M66" si="1">IF($F34="",0,$F34)</f>
        <v>0</v>
      </c>
    </row>
    <row r="35" spans="1:13" ht="28.8" customHeight="1" x14ac:dyDescent="0.3">
      <c r="A35" s="2" t="s">
        <v>78</v>
      </c>
      <c r="B35" s="2" t="s">
        <v>111</v>
      </c>
      <c r="C35" s="2" t="s">
        <v>309</v>
      </c>
      <c r="D35" s="2" t="s">
        <v>310</v>
      </c>
      <c r="E35" s="2" t="s">
        <v>118</v>
      </c>
      <c r="F35" s="4">
        <v>0.5</v>
      </c>
      <c r="G35" s="3">
        <v>45901</v>
      </c>
      <c r="H35" s="3">
        <v>46173</v>
      </c>
      <c r="I35" s="2" t="s">
        <v>300</v>
      </c>
      <c r="J35" s="2"/>
      <c r="K35">
        <f>COUNTIF(Link_Project_Req!$A$2:$A$68,$A35)</f>
        <v>1</v>
      </c>
      <c r="L35">
        <f>COUNTIF(Link_Project_Gap!$A$2:$A$112,$A35)</f>
        <v>4</v>
      </c>
      <c r="M35" s="14">
        <f t="shared" si="1"/>
        <v>0.5</v>
      </c>
    </row>
    <row r="36" spans="1:13" x14ac:dyDescent="0.3">
      <c r="A36" s="2" t="s">
        <v>79</v>
      </c>
      <c r="B36" s="2" t="s">
        <v>120</v>
      </c>
      <c r="C36" s="2" t="s">
        <v>311</v>
      </c>
      <c r="D36" s="2" t="s">
        <v>312</v>
      </c>
      <c r="E36" s="2" t="s">
        <v>118</v>
      </c>
      <c r="F36" s="4">
        <v>0.5</v>
      </c>
      <c r="G36" s="3">
        <v>45901</v>
      </c>
      <c r="H36" s="3">
        <v>46173</v>
      </c>
      <c r="I36" s="2" t="s">
        <v>286</v>
      </c>
      <c r="J36" s="2"/>
      <c r="K36">
        <f>COUNTIF(Link_Project_Req!$A$2:$A$68,$A36)</f>
        <v>2</v>
      </c>
      <c r="L36">
        <f>COUNTIF(Link_Project_Gap!$A$2:$A$112,$A36)</f>
        <v>3</v>
      </c>
      <c r="M36" s="14">
        <f t="shared" si="1"/>
        <v>0.5</v>
      </c>
    </row>
    <row r="37" spans="1:13" x14ac:dyDescent="0.3">
      <c r="A37" s="2" t="s">
        <v>197</v>
      </c>
      <c r="B37" s="2"/>
      <c r="C37" s="2"/>
      <c r="D37" s="2"/>
      <c r="E37" s="2" t="s">
        <v>109</v>
      </c>
      <c r="F37" s="4">
        <v>0</v>
      </c>
      <c r="G37" s="3">
        <v>46023</v>
      </c>
      <c r="H37" s="3">
        <v>46387</v>
      </c>
      <c r="I37" s="2" t="s">
        <v>284</v>
      </c>
      <c r="J37" s="2"/>
      <c r="K37">
        <f>COUNTIF(Link_Project_Req!$A$2:$A$68,$A37)</f>
        <v>0</v>
      </c>
      <c r="L37">
        <f>COUNTIF(Link_Project_Gap!$A$2:$A$112,$A37)</f>
        <v>0</v>
      </c>
      <c r="M37" s="14">
        <f t="shared" si="1"/>
        <v>0</v>
      </c>
    </row>
    <row r="38" spans="1:13" x14ac:dyDescent="0.3">
      <c r="A38" s="2" t="s">
        <v>199</v>
      </c>
      <c r="B38" s="2"/>
      <c r="C38" s="2"/>
      <c r="D38" s="2"/>
      <c r="E38" s="2" t="s">
        <v>118</v>
      </c>
      <c r="F38" s="4">
        <v>0.5</v>
      </c>
      <c r="G38" s="3">
        <v>45901</v>
      </c>
      <c r="H38" s="3">
        <v>46173</v>
      </c>
      <c r="I38" s="2" t="s">
        <v>284</v>
      </c>
      <c r="J38" s="2"/>
      <c r="K38">
        <f>COUNTIF(Link_Project_Req!$A$2:$A$68,$A38)</f>
        <v>0</v>
      </c>
      <c r="L38">
        <f>COUNTIF(Link_Project_Gap!$A$2:$A$112,$A38)</f>
        <v>0</v>
      </c>
      <c r="M38" s="14">
        <f t="shared" si="1"/>
        <v>0.5</v>
      </c>
    </row>
    <row r="39" spans="1:13" x14ac:dyDescent="0.3">
      <c r="A39" s="2" t="s">
        <v>200</v>
      </c>
      <c r="B39" s="2"/>
      <c r="C39" s="2"/>
      <c r="D39" s="2"/>
      <c r="E39" s="2" t="s">
        <v>109</v>
      </c>
      <c r="F39" s="4">
        <v>0</v>
      </c>
      <c r="G39" s="3">
        <v>46023</v>
      </c>
      <c r="H39" s="3">
        <v>46387</v>
      </c>
      <c r="I39" s="2" t="s">
        <v>284</v>
      </c>
      <c r="J39" s="2"/>
      <c r="K39">
        <f>COUNTIF(Link_Project_Req!$A$2:$A$68,$A39)</f>
        <v>0</v>
      </c>
      <c r="L39">
        <f>COUNTIF(Link_Project_Gap!$A$2:$A$112,$A39)</f>
        <v>0</v>
      </c>
      <c r="M39" s="14">
        <f t="shared" si="1"/>
        <v>0</v>
      </c>
    </row>
    <row r="40" spans="1:13" x14ac:dyDescent="0.3">
      <c r="A40" s="2" t="s">
        <v>202</v>
      </c>
      <c r="B40" s="2"/>
      <c r="C40" s="2"/>
      <c r="D40" s="2"/>
      <c r="E40" s="2" t="s">
        <v>109</v>
      </c>
      <c r="F40" s="4">
        <v>0</v>
      </c>
      <c r="G40" s="3">
        <v>46023</v>
      </c>
      <c r="H40" s="3">
        <v>46387</v>
      </c>
      <c r="I40" s="2" t="s">
        <v>284</v>
      </c>
      <c r="J40" s="2"/>
      <c r="K40">
        <f>COUNTIF(Link_Project_Req!$A$2:$A$68,$A40)</f>
        <v>0</v>
      </c>
      <c r="L40">
        <f>COUNTIF(Link_Project_Gap!$A$2:$A$112,$A40)</f>
        <v>0</v>
      </c>
      <c r="M40" s="14">
        <f t="shared" si="1"/>
        <v>0</v>
      </c>
    </row>
    <row r="41" spans="1:13" ht="28.8" customHeight="1" x14ac:dyDescent="0.3">
      <c r="A41" s="2" t="s">
        <v>203</v>
      </c>
      <c r="B41" s="2"/>
      <c r="C41" s="2"/>
      <c r="D41" s="2"/>
      <c r="E41" s="2" t="s">
        <v>118</v>
      </c>
      <c r="F41" s="4">
        <v>0.25</v>
      </c>
      <c r="G41" s="3">
        <v>45931</v>
      </c>
      <c r="H41" s="3">
        <v>46142</v>
      </c>
      <c r="I41" s="2" t="s">
        <v>284</v>
      </c>
      <c r="J41" s="2"/>
      <c r="K41">
        <f>COUNTIF(Link_Project_Req!$A$2:$A$68,$A41)</f>
        <v>0</v>
      </c>
      <c r="L41">
        <f>COUNTIF(Link_Project_Gap!$A$2:$A$112,$A41)</f>
        <v>0</v>
      </c>
      <c r="M41" s="14">
        <f t="shared" si="1"/>
        <v>0.25</v>
      </c>
    </row>
    <row r="42" spans="1:13" x14ac:dyDescent="0.3">
      <c r="A42" s="2" t="s">
        <v>205</v>
      </c>
      <c r="B42" s="2"/>
      <c r="C42" s="2"/>
      <c r="D42" s="2"/>
      <c r="E42" s="2" t="s">
        <v>118</v>
      </c>
      <c r="F42" s="4">
        <v>0.25</v>
      </c>
      <c r="G42" s="3">
        <v>45931</v>
      </c>
      <c r="H42" s="3">
        <v>46142</v>
      </c>
      <c r="I42" s="2" t="s">
        <v>284</v>
      </c>
      <c r="J42" s="2"/>
      <c r="K42">
        <f>COUNTIF(Link_Project_Req!$A$2:$A$68,$A42)</f>
        <v>0</v>
      </c>
      <c r="L42">
        <f>COUNTIF(Link_Project_Gap!$A$2:$A$112,$A42)</f>
        <v>0</v>
      </c>
      <c r="M42" s="14">
        <f t="shared" si="1"/>
        <v>0.25</v>
      </c>
    </row>
    <row r="43" spans="1:13" ht="57.6" customHeight="1" x14ac:dyDescent="0.3">
      <c r="A43" s="2" t="s">
        <v>69</v>
      </c>
      <c r="B43" s="2" t="s">
        <v>100</v>
      </c>
      <c r="C43" s="2" t="s">
        <v>313</v>
      </c>
      <c r="D43" s="2" t="s">
        <v>314</v>
      </c>
      <c r="E43" s="2" t="s">
        <v>109</v>
      </c>
      <c r="F43" s="4">
        <v>0</v>
      </c>
      <c r="G43" s="3">
        <v>46023</v>
      </c>
      <c r="H43" s="3">
        <v>46387</v>
      </c>
      <c r="I43" s="2" t="s">
        <v>119</v>
      </c>
      <c r="J43" s="2"/>
      <c r="K43">
        <f>COUNTIF(Link_Project_Req!$A$2:$A$68,$A43)</f>
        <v>8</v>
      </c>
      <c r="L43">
        <f>COUNTIF(Link_Project_Gap!$A$2:$A$112,$A43)</f>
        <v>11</v>
      </c>
      <c r="M43" s="14">
        <f t="shared" si="1"/>
        <v>0</v>
      </c>
    </row>
    <row r="44" spans="1:13" x14ac:dyDescent="0.3">
      <c r="A44" s="2" t="s">
        <v>208</v>
      </c>
      <c r="B44" s="2"/>
      <c r="C44" s="2"/>
      <c r="D44" s="2"/>
      <c r="E44" s="2" t="s">
        <v>109</v>
      </c>
      <c r="F44" s="4">
        <v>0</v>
      </c>
      <c r="G44" s="3">
        <v>46023</v>
      </c>
      <c r="H44" s="3">
        <v>46387</v>
      </c>
      <c r="I44" s="2" t="s">
        <v>284</v>
      </c>
      <c r="J44" s="2"/>
      <c r="K44">
        <f>COUNTIF(Link_Project_Req!$A$2:$A$68,$A44)</f>
        <v>0</v>
      </c>
      <c r="L44">
        <f>COUNTIF(Link_Project_Gap!$A$2:$A$112,$A44)</f>
        <v>0</v>
      </c>
      <c r="M44" s="14">
        <f t="shared" si="1"/>
        <v>0</v>
      </c>
    </row>
    <row r="45" spans="1:13" x14ac:dyDescent="0.3">
      <c r="A45" s="2" t="s">
        <v>210</v>
      </c>
      <c r="B45" s="2"/>
      <c r="C45" s="2"/>
      <c r="D45" s="2"/>
      <c r="E45" s="2" t="s">
        <v>109</v>
      </c>
      <c r="F45" s="4">
        <v>0</v>
      </c>
      <c r="G45" s="3">
        <v>46023</v>
      </c>
      <c r="H45" s="3">
        <v>46387</v>
      </c>
      <c r="I45" s="2" t="s">
        <v>284</v>
      </c>
      <c r="J45" s="2"/>
      <c r="K45">
        <f>COUNTIF(Link_Project_Req!$A$2:$A$68,$A45)</f>
        <v>0</v>
      </c>
      <c r="L45">
        <f>COUNTIF(Link_Project_Gap!$A$2:$A$112,$A45)</f>
        <v>0</v>
      </c>
      <c r="M45" s="14">
        <f t="shared" si="1"/>
        <v>0</v>
      </c>
    </row>
    <row r="46" spans="1:13" x14ac:dyDescent="0.3">
      <c r="A46" s="2" t="s">
        <v>212</v>
      </c>
      <c r="B46" s="2"/>
      <c r="C46" s="2"/>
      <c r="D46" s="2"/>
      <c r="E46" s="2" t="s">
        <v>118</v>
      </c>
      <c r="F46" s="4">
        <v>0.25</v>
      </c>
      <c r="G46" s="3">
        <v>45931</v>
      </c>
      <c r="H46" s="3">
        <v>46142</v>
      </c>
      <c r="I46" s="2" t="s">
        <v>284</v>
      </c>
      <c r="J46" s="2"/>
      <c r="K46">
        <f>COUNTIF(Link_Project_Req!$A$2:$A$68,$A46)</f>
        <v>0</v>
      </c>
      <c r="L46">
        <f>COUNTIF(Link_Project_Gap!$A$2:$A$112,$A46)</f>
        <v>0</v>
      </c>
      <c r="M46" s="14">
        <f t="shared" si="1"/>
        <v>0.25</v>
      </c>
    </row>
    <row r="47" spans="1:13" ht="72" customHeight="1" x14ac:dyDescent="0.3">
      <c r="A47" s="2" t="s">
        <v>68</v>
      </c>
      <c r="B47" s="2" t="s">
        <v>100</v>
      </c>
      <c r="C47" s="2" t="s">
        <v>315</v>
      </c>
      <c r="D47" s="2" t="s">
        <v>316</v>
      </c>
      <c r="E47" s="2" t="s">
        <v>291</v>
      </c>
      <c r="F47" s="4">
        <v>0.2</v>
      </c>
      <c r="G47" s="3">
        <v>0.2</v>
      </c>
      <c r="H47" s="3">
        <v>46023</v>
      </c>
      <c r="I47" s="3">
        <v>46387</v>
      </c>
      <c r="J47" s="2"/>
      <c r="K47">
        <f>COUNTIF(Link_Project_Req!$A$2:$A$68,$A47)</f>
        <v>9</v>
      </c>
      <c r="L47">
        <f>COUNTIF(Link_Project_Gap!$A$2:$A$112,$A47)</f>
        <v>15</v>
      </c>
      <c r="M47" s="14">
        <f t="shared" si="1"/>
        <v>0.2</v>
      </c>
    </row>
    <row r="48" spans="1:13" ht="28.8" customHeight="1" x14ac:dyDescent="0.3">
      <c r="A48" s="2" t="s">
        <v>72</v>
      </c>
      <c r="B48" s="2" t="s">
        <v>100</v>
      </c>
      <c r="C48" s="2" t="s">
        <v>317</v>
      </c>
      <c r="D48" s="2" t="s">
        <v>318</v>
      </c>
      <c r="E48" s="2" t="s">
        <v>118</v>
      </c>
      <c r="F48" s="4">
        <v>0.45</v>
      </c>
      <c r="G48" s="3">
        <v>45870</v>
      </c>
      <c r="H48" s="3">
        <v>46326</v>
      </c>
      <c r="I48" s="2" t="s">
        <v>119</v>
      </c>
      <c r="J48" s="2"/>
      <c r="K48">
        <f>COUNTIF(Link_Project_Req!$A$2:$A$68,$A48)</f>
        <v>3</v>
      </c>
      <c r="L48">
        <f>COUNTIF(Link_Project_Gap!$A$2:$A$112,$A48)</f>
        <v>6</v>
      </c>
      <c r="M48" s="14">
        <f t="shared" si="1"/>
        <v>0.45</v>
      </c>
    </row>
    <row r="49" spans="1:13" x14ac:dyDescent="0.3">
      <c r="A49" s="2" t="s">
        <v>215</v>
      </c>
      <c r="B49" s="2" t="s">
        <v>100</v>
      </c>
      <c r="C49" s="2" t="s">
        <v>294</v>
      </c>
      <c r="D49" s="2" t="s">
        <v>295</v>
      </c>
      <c r="E49" s="2" t="s">
        <v>291</v>
      </c>
      <c r="F49" s="4">
        <v>0.53310000000000002</v>
      </c>
      <c r="G49" s="3">
        <v>0.55869999999999997</v>
      </c>
      <c r="H49" s="3">
        <v>46387</v>
      </c>
      <c r="I49" s="3">
        <v>46022</v>
      </c>
      <c r="J49" s="2"/>
      <c r="K49">
        <f>COUNTIF(Link_Project_Req!$A$2:$A$68,$A49)</f>
        <v>1</v>
      </c>
      <c r="L49">
        <f>COUNTIF(Link_Project_Gap!$A$2:$A$112,$A49)</f>
        <v>2</v>
      </c>
      <c r="M49" s="14">
        <f t="shared" si="1"/>
        <v>0.53310000000000002</v>
      </c>
    </row>
    <row r="50" spans="1:13" x14ac:dyDescent="0.3">
      <c r="A50" s="2" t="s">
        <v>217</v>
      </c>
      <c r="B50" s="2"/>
      <c r="C50" s="2"/>
      <c r="D50" s="2"/>
      <c r="E50" s="2" t="s">
        <v>109</v>
      </c>
      <c r="F50" s="4">
        <v>0</v>
      </c>
      <c r="G50" s="3">
        <v>46023</v>
      </c>
      <c r="H50" s="3">
        <v>46387</v>
      </c>
      <c r="I50" s="2" t="s">
        <v>284</v>
      </c>
      <c r="J50" s="2"/>
      <c r="K50">
        <f>COUNTIF(Link_Project_Req!$A$2:$A$68,$A50)</f>
        <v>0</v>
      </c>
      <c r="L50">
        <f>COUNTIF(Link_Project_Gap!$A$2:$A$112,$A50)</f>
        <v>0</v>
      </c>
      <c r="M50" s="14">
        <f t="shared" si="1"/>
        <v>0</v>
      </c>
    </row>
    <row r="51" spans="1:13" x14ac:dyDescent="0.3">
      <c r="A51" s="2" t="s">
        <v>219</v>
      </c>
      <c r="B51" s="2"/>
      <c r="C51" s="2"/>
      <c r="D51" s="2"/>
      <c r="E51" s="2" t="s">
        <v>109</v>
      </c>
      <c r="F51" s="4">
        <v>0</v>
      </c>
      <c r="G51" s="3">
        <v>46023</v>
      </c>
      <c r="H51" s="3">
        <v>46387</v>
      </c>
      <c r="I51" s="2" t="s">
        <v>284</v>
      </c>
      <c r="J51" s="2"/>
      <c r="K51">
        <f>COUNTIF(Link_Project_Req!$A$2:$A$68,$A51)</f>
        <v>0</v>
      </c>
      <c r="L51">
        <f>COUNTIF(Link_Project_Gap!$A$2:$A$112,$A51)</f>
        <v>0</v>
      </c>
      <c r="M51" s="14">
        <f t="shared" si="1"/>
        <v>0</v>
      </c>
    </row>
    <row r="52" spans="1:13" ht="28.8" customHeight="1" x14ac:dyDescent="0.3">
      <c r="A52" s="2" t="s">
        <v>74</v>
      </c>
      <c r="B52" s="2" t="s">
        <v>100</v>
      </c>
      <c r="C52" s="2" t="s">
        <v>319</v>
      </c>
      <c r="D52" s="2" t="s">
        <v>320</v>
      </c>
      <c r="E52" s="2" t="s">
        <v>118</v>
      </c>
      <c r="F52" s="4">
        <v>0.65</v>
      </c>
      <c r="G52" s="3">
        <v>45658</v>
      </c>
      <c r="H52" s="3">
        <v>46387</v>
      </c>
      <c r="I52" s="2" t="s">
        <v>119</v>
      </c>
      <c r="J52" s="2"/>
      <c r="K52">
        <f>COUNTIF(Link_Project_Req!$A$2:$A$68,$A52)</f>
        <v>2</v>
      </c>
      <c r="L52">
        <f>COUNTIF(Link_Project_Gap!$A$2:$A$112,$A52)</f>
        <v>4</v>
      </c>
      <c r="M52" s="14">
        <f t="shared" si="1"/>
        <v>0.65</v>
      </c>
    </row>
    <row r="53" spans="1:13" ht="28.8" customHeight="1" x14ac:dyDescent="0.3">
      <c r="A53" s="2" t="s">
        <v>222</v>
      </c>
      <c r="B53" s="2"/>
      <c r="C53" s="2" t="s">
        <v>263</v>
      </c>
      <c r="D53" s="2" t="s">
        <v>321</v>
      </c>
      <c r="E53" s="2" t="s">
        <v>118</v>
      </c>
      <c r="F53" s="4">
        <v>0.65</v>
      </c>
      <c r="G53" s="3">
        <v>45658</v>
      </c>
      <c r="H53" s="3">
        <v>46387</v>
      </c>
      <c r="I53" s="2" t="s">
        <v>284</v>
      </c>
      <c r="J53" s="2"/>
      <c r="K53">
        <f>COUNTIF(Link_Project_Req!$A$2:$A$68,$A53)</f>
        <v>1</v>
      </c>
      <c r="L53">
        <f>COUNTIF(Link_Project_Gap!$A$2:$A$112,$A53)</f>
        <v>1</v>
      </c>
      <c r="M53" s="14">
        <f t="shared" si="1"/>
        <v>0.65</v>
      </c>
    </row>
    <row r="54" spans="1:13" ht="43.2" customHeight="1" x14ac:dyDescent="0.3">
      <c r="A54" s="2" t="s">
        <v>224</v>
      </c>
      <c r="B54" s="2"/>
      <c r="C54" s="2"/>
      <c r="D54" s="2"/>
      <c r="E54" s="2" t="s">
        <v>109</v>
      </c>
      <c r="F54" s="4">
        <v>0</v>
      </c>
      <c r="G54" s="3">
        <v>46023</v>
      </c>
      <c r="H54" s="3">
        <v>46387</v>
      </c>
      <c r="I54" s="2" t="s">
        <v>284</v>
      </c>
      <c r="J54" s="2"/>
      <c r="K54">
        <f>COUNTIF(Link_Project_Req!$A$2:$A$68,$A54)</f>
        <v>0</v>
      </c>
      <c r="L54">
        <f>COUNTIF(Link_Project_Gap!$A$2:$A$112,$A54)</f>
        <v>0</v>
      </c>
      <c r="M54" s="14">
        <f t="shared" si="1"/>
        <v>0</v>
      </c>
    </row>
    <row r="55" spans="1:13" ht="86.4" customHeight="1" x14ac:dyDescent="0.3">
      <c r="A55" s="2" t="s">
        <v>67</v>
      </c>
      <c r="B55" s="2" t="s">
        <v>100</v>
      </c>
      <c r="C55" s="2" t="s">
        <v>322</v>
      </c>
      <c r="D55" s="2" t="s">
        <v>323</v>
      </c>
      <c r="E55" s="2" t="s">
        <v>118</v>
      </c>
      <c r="F55" s="4">
        <v>0.75</v>
      </c>
      <c r="G55" s="3">
        <v>45658</v>
      </c>
      <c r="H55" s="3">
        <v>46387</v>
      </c>
      <c r="I55" s="2" t="s">
        <v>119</v>
      </c>
      <c r="J55" s="2"/>
      <c r="K55">
        <f>COUNTIF(Link_Project_Req!$A$2:$A$68,$A55)</f>
        <v>10</v>
      </c>
      <c r="L55">
        <f>COUNTIF(Link_Project_Gap!$A$2:$A$112,$A55)</f>
        <v>17</v>
      </c>
      <c r="M55" s="14">
        <f t="shared" si="1"/>
        <v>0.75</v>
      </c>
    </row>
    <row r="56" spans="1:13" ht="28.8" customHeight="1" x14ac:dyDescent="0.3">
      <c r="A56" s="2" t="s">
        <v>227</v>
      </c>
      <c r="B56" s="2"/>
      <c r="C56" s="2"/>
      <c r="D56" s="2"/>
      <c r="E56" s="2" t="s">
        <v>118</v>
      </c>
      <c r="F56" s="4">
        <v>0.4</v>
      </c>
      <c r="G56" s="3">
        <v>45901</v>
      </c>
      <c r="H56" s="3">
        <v>46203</v>
      </c>
      <c r="I56" s="2" t="s">
        <v>284</v>
      </c>
      <c r="J56" s="2"/>
      <c r="K56">
        <f>COUNTIF(Link_Project_Req!$A$2:$A$68,$A56)</f>
        <v>0</v>
      </c>
      <c r="L56">
        <f>COUNTIF(Link_Project_Gap!$A$2:$A$112,$A56)</f>
        <v>0</v>
      </c>
      <c r="M56" s="14">
        <f t="shared" si="1"/>
        <v>0.4</v>
      </c>
    </row>
    <row r="57" spans="1:13" ht="28.8" customHeight="1" x14ac:dyDescent="0.3">
      <c r="A57" s="2" t="s">
        <v>229</v>
      </c>
      <c r="B57" s="2"/>
      <c r="C57" s="2"/>
      <c r="D57" s="2"/>
      <c r="E57" s="2" t="s">
        <v>118</v>
      </c>
      <c r="F57" s="4">
        <v>0.65</v>
      </c>
      <c r="G57" s="3">
        <v>45658</v>
      </c>
      <c r="H57" s="3">
        <v>46387</v>
      </c>
      <c r="I57" s="2" t="s">
        <v>284</v>
      </c>
      <c r="J57" s="2"/>
      <c r="K57">
        <f>COUNTIF(Link_Project_Req!$A$2:$A$68,$A57)</f>
        <v>0</v>
      </c>
      <c r="L57">
        <f>COUNTIF(Link_Project_Gap!$A$2:$A$112,$A57)</f>
        <v>0</v>
      </c>
      <c r="M57" s="14">
        <f t="shared" si="1"/>
        <v>0.65</v>
      </c>
    </row>
    <row r="58" spans="1:13" ht="28.8" customHeight="1" x14ac:dyDescent="0.3">
      <c r="A58" s="2" t="s">
        <v>231</v>
      </c>
      <c r="B58" s="2"/>
      <c r="C58" s="2"/>
      <c r="D58" s="2"/>
      <c r="E58" s="2" t="s">
        <v>118</v>
      </c>
      <c r="F58" s="4">
        <v>0.65</v>
      </c>
      <c r="G58" s="3">
        <v>45658</v>
      </c>
      <c r="H58" s="3">
        <v>46387</v>
      </c>
      <c r="I58" s="2" t="s">
        <v>284</v>
      </c>
      <c r="J58" s="2"/>
      <c r="K58">
        <f>COUNTIF(Link_Project_Req!$A$2:$A$68,$A58)</f>
        <v>0</v>
      </c>
      <c r="L58">
        <f>COUNTIF(Link_Project_Gap!$A$2:$A$112,$A58)</f>
        <v>0</v>
      </c>
      <c r="M58" s="14">
        <f t="shared" si="1"/>
        <v>0.65</v>
      </c>
    </row>
    <row r="59" spans="1:13" ht="28.8" customHeight="1" x14ac:dyDescent="0.3">
      <c r="A59" s="2" t="s">
        <v>233</v>
      </c>
      <c r="B59" s="2"/>
      <c r="C59" s="2"/>
      <c r="D59" s="2"/>
      <c r="E59" s="2" t="s">
        <v>118</v>
      </c>
      <c r="F59" s="4">
        <v>0.65</v>
      </c>
      <c r="G59" s="3">
        <v>45658</v>
      </c>
      <c r="H59" s="3">
        <v>46387</v>
      </c>
      <c r="I59" s="2" t="s">
        <v>284</v>
      </c>
      <c r="J59" s="2"/>
      <c r="K59">
        <f>COUNTIF(Link_Project_Req!$A$2:$A$68,$A59)</f>
        <v>0</v>
      </c>
      <c r="L59">
        <f>COUNTIF(Link_Project_Gap!$A$2:$A$112,$A59)</f>
        <v>0</v>
      </c>
      <c r="M59" s="14">
        <f t="shared" si="1"/>
        <v>0.65</v>
      </c>
    </row>
    <row r="60" spans="1:13" x14ac:dyDescent="0.3">
      <c r="A60" s="2" t="s">
        <v>235</v>
      </c>
      <c r="B60" s="2" t="s">
        <v>120</v>
      </c>
      <c r="C60" s="2" t="s">
        <v>262</v>
      </c>
      <c r="D60" s="2" t="s">
        <v>324</v>
      </c>
      <c r="E60" s="2" t="s">
        <v>109</v>
      </c>
      <c r="F60" s="4">
        <v>0</v>
      </c>
      <c r="G60" s="3">
        <v>46023</v>
      </c>
      <c r="H60" s="3">
        <v>46387</v>
      </c>
      <c r="I60" s="2" t="s">
        <v>286</v>
      </c>
      <c r="J60" s="2"/>
      <c r="K60">
        <f>COUNTIF(Link_Project_Req!$A$2:$A$68,$A60)</f>
        <v>1</v>
      </c>
      <c r="L60">
        <f>COUNTIF(Link_Project_Gap!$A$2:$A$112,$A60)</f>
        <v>1</v>
      </c>
      <c r="M60" s="14">
        <f t="shared" si="1"/>
        <v>0</v>
      </c>
    </row>
    <row r="61" spans="1:13" ht="28.8" customHeight="1" x14ac:dyDescent="0.3">
      <c r="A61" s="2" t="s">
        <v>237</v>
      </c>
      <c r="B61" s="2" t="s">
        <v>120</v>
      </c>
      <c r="C61" s="2" t="s">
        <v>262</v>
      </c>
      <c r="D61" s="2" t="s">
        <v>324</v>
      </c>
      <c r="E61" s="2" t="s">
        <v>118</v>
      </c>
      <c r="F61" s="4">
        <v>0.4</v>
      </c>
      <c r="G61" s="3">
        <v>45901</v>
      </c>
      <c r="H61" s="3">
        <v>46203</v>
      </c>
      <c r="I61" s="2" t="s">
        <v>286</v>
      </c>
      <c r="J61" s="2"/>
      <c r="K61">
        <f>COUNTIF(Link_Project_Req!$A$2:$A$68,$A61)</f>
        <v>1</v>
      </c>
      <c r="L61">
        <f>COUNTIF(Link_Project_Gap!$A$2:$A$112,$A61)</f>
        <v>1</v>
      </c>
      <c r="M61" s="14">
        <f t="shared" si="1"/>
        <v>0.4</v>
      </c>
    </row>
    <row r="62" spans="1:13" ht="28.8" customHeight="1" x14ac:dyDescent="0.3">
      <c r="A62" s="2" t="s">
        <v>239</v>
      </c>
      <c r="B62" s="2" t="s">
        <v>100</v>
      </c>
      <c r="C62" s="2" t="s">
        <v>325</v>
      </c>
      <c r="D62" s="2" t="s">
        <v>46</v>
      </c>
      <c r="E62" s="2" t="s">
        <v>109</v>
      </c>
      <c r="F62" s="4">
        <v>0</v>
      </c>
      <c r="G62" s="3">
        <v>46023</v>
      </c>
      <c r="H62" s="3">
        <v>46387</v>
      </c>
      <c r="I62" s="2" t="s">
        <v>119</v>
      </c>
      <c r="J62" s="2"/>
      <c r="K62">
        <f>COUNTIF(Link_Project_Req!$A$2:$A$68,$A62)</f>
        <v>1</v>
      </c>
      <c r="L62">
        <f>COUNTIF(Link_Project_Gap!$A$2:$A$112,$A62)</f>
        <v>2</v>
      </c>
      <c r="M62" s="14">
        <f t="shared" si="1"/>
        <v>0</v>
      </c>
    </row>
    <row r="63" spans="1:13" x14ac:dyDescent="0.3">
      <c r="A63" s="2" t="s">
        <v>241</v>
      </c>
      <c r="B63" s="2"/>
      <c r="C63" s="2"/>
      <c r="D63" s="2"/>
      <c r="E63" s="2" t="s">
        <v>109</v>
      </c>
      <c r="F63" s="4">
        <v>0</v>
      </c>
      <c r="G63" s="3">
        <v>46023</v>
      </c>
      <c r="H63" s="3">
        <v>46387</v>
      </c>
      <c r="I63" s="2" t="s">
        <v>284</v>
      </c>
      <c r="J63" s="2"/>
      <c r="K63">
        <f>COUNTIF(Link_Project_Req!$A$2:$A$68,$A63)</f>
        <v>0</v>
      </c>
      <c r="L63">
        <f>COUNTIF(Link_Project_Gap!$A$2:$A$112,$A63)</f>
        <v>0</v>
      </c>
      <c r="M63" s="14">
        <f t="shared" si="1"/>
        <v>0</v>
      </c>
    </row>
    <row r="64" spans="1:13" x14ac:dyDescent="0.3">
      <c r="A64" s="2" t="s">
        <v>242</v>
      </c>
      <c r="B64" s="2"/>
      <c r="C64" s="2"/>
      <c r="D64" s="2"/>
      <c r="E64" s="2" t="s">
        <v>109</v>
      </c>
      <c r="F64" s="4">
        <v>0</v>
      </c>
      <c r="G64" s="3">
        <v>46023</v>
      </c>
      <c r="H64" s="3">
        <v>46387</v>
      </c>
      <c r="I64" s="2" t="s">
        <v>284</v>
      </c>
      <c r="J64" s="2"/>
      <c r="K64">
        <f>COUNTIF(Link_Project_Req!$A$2:$A$68,$A64)</f>
        <v>0</v>
      </c>
      <c r="L64">
        <f>COUNTIF(Link_Project_Gap!$A$2:$A$112,$A64)</f>
        <v>0</v>
      </c>
      <c r="M64" s="14">
        <f t="shared" si="1"/>
        <v>0</v>
      </c>
    </row>
    <row r="65" spans="1:13" ht="43.2" customHeight="1" x14ac:dyDescent="0.3">
      <c r="A65" s="2" t="s">
        <v>243</v>
      </c>
      <c r="B65" s="2"/>
      <c r="C65" s="2"/>
      <c r="D65" s="2"/>
      <c r="E65" s="2" t="s">
        <v>118</v>
      </c>
      <c r="F65" s="4">
        <v>0.8</v>
      </c>
      <c r="G65" s="3">
        <v>45809</v>
      </c>
      <c r="H65" s="3">
        <v>46387</v>
      </c>
      <c r="I65" s="2" t="s">
        <v>284</v>
      </c>
      <c r="J65" s="2"/>
      <c r="K65">
        <f>COUNTIF(Link_Project_Req!$A$2:$A$68,$A65)</f>
        <v>0</v>
      </c>
      <c r="L65">
        <f>COUNTIF(Link_Project_Gap!$A$2:$A$112,$A65)</f>
        <v>0</v>
      </c>
      <c r="M65" s="14">
        <f t="shared" si="1"/>
        <v>0.8</v>
      </c>
    </row>
    <row r="66" spans="1:13" ht="28.8" customHeight="1" x14ac:dyDescent="0.3">
      <c r="A66" s="2" t="s">
        <v>244</v>
      </c>
      <c r="B66" s="2"/>
      <c r="C66" s="2"/>
      <c r="D66" s="2"/>
      <c r="E66" s="2" t="s">
        <v>118</v>
      </c>
      <c r="F66" s="4">
        <v>0.8</v>
      </c>
      <c r="G66" s="3">
        <v>45809</v>
      </c>
      <c r="H66" s="3">
        <v>46387</v>
      </c>
      <c r="I66" s="2" t="s">
        <v>284</v>
      </c>
      <c r="J66" s="2"/>
      <c r="K66">
        <f>COUNTIF(Link_Project_Req!$A$2:$A$68,$A66)</f>
        <v>0</v>
      </c>
      <c r="L66">
        <f>COUNTIF(Link_Project_Gap!$A$2:$A$112,$A66)</f>
        <v>0</v>
      </c>
      <c r="M66" s="14">
        <f t="shared" si="1"/>
        <v>0.8</v>
      </c>
    </row>
    <row r="67" spans="1:13" x14ac:dyDescent="0.3">
      <c r="F67" s="6"/>
      <c r="G67" s="5"/>
      <c r="H67" s="5"/>
    </row>
    <row r="68" spans="1:13" x14ac:dyDescent="0.3">
      <c r="F68" s="6"/>
      <c r="G68" s="5"/>
      <c r="H68" s="5"/>
    </row>
    <row r="69" spans="1:13" x14ac:dyDescent="0.3">
      <c r="F69" s="6"/>
      <c r="G69" s="5"/>
      <c r="H69" s="5"/>
    </row>
    <row r="70" spans="1:13" x14ac:dyDescent="0.3">
      <c r="F70" s="6"/>
      <c r="G70" s="5"/>
      <c r="H70" s="5"/>
    </row>
    <row r="71" spans="1:13" x14ac:dyDescent="0.3">
      <c r="F71" s="6"/>
      <c r="G71" s="5"/>
      <c r="H71" s="5"/>
    </row>
    <row r="72" spans="1:13" x14ac:dyDescent="0.3">
      <c r="F72" s="6"/>
      <c r="G72" s="5"/>
      <c r="H72" s="5"/>
    </row>
    <row r="73" spans="1:13" x14ac:dyDescent="0.3">
      <c r="F73" s="6"/>
      <c r="G73" s="5"/>
      <c r="H73" s="5"/>
    </row>
    <row r="74" spans="1:13" x14ac:dyDescent="0.3">
      <c r="F74" s="6"/>
      <c r="G74" s="5"/>
      <c r="H74" s="5"/>
    </row>
    <row r="75" spans="1:13" x14ac:dyDescent="0.3">
      <c r="F75" s="6"/>
      <c r="G75" s="5"/>
      <c r="H75" s="5"/>
    </row>
    <row r="76" spans="1:13" x14ac:dyDescent="0.3">
      <c r="F76" s="6"/>
      <c r="G76" s="5"/>
      <c r="H76" s="5"/>
    </row>
    <row r="77" spans="1:13" x14ac:dyDescent="0.3">
      <c r="F77" s="6"/>
      <c r="G77" s="5"/>
      <c r="H77" s="5"/>
    </row>
    <row r="78" spans="1:13" x14ac:dyDescent="0.3">
      <c r="F78" s="6"/>
      <c r="G78" s="5"/>
      <c r="H78" s="5"/>
    </row>
    <row r="79" spans="1:13" x14ac:dyDescent="0.3">
      <c r="F79" s="6"/>
      <c r="G79" s="5"/>
      <c r="H79" s="5"/>
    </row>
    <row r="80" spans="1:13" x14ac:dyDescent="0.3">
      <c r="F80" s="6"/>
      <c r="G80" s="5"/>
      <c r="H80" s="5"/>
    </row>
    <row r="81" spans="6:8" x14ac:dyDescent="0.3">
      <c r="F81" s="6"/>
      <c r="G81" s="5"/>
      <c r="H81" s="5"/>
    </row>
    <row r="82" spans="6:8" x14ac:dyDescent="0.3">
      <c r="F82" s="6"/>
      <c r="G82" s="5"/>
      <c r="H82" s="5"/>
    </row>
    <row r="83" spans="6:8" x14ac:dyDescent="0.3">
      <c r="F83" s="6"/>
      <c r="G83" s="5"/>
      <c r="H83" s="5"/>
    </row>
    <row r="84" spans="6:8" x14ac:dyDescent="0.3">
      <c r="F84" s="6"/>
      <c r="G84" s="5"/>
      <c r="H84" s="5"/>
    </row>
    <row r="85" spans="6:8" x14ac:dyDescent="0.3">
      <c r="F85" s="6"/>
      <c r="G85" s="5"/>
      <c r="H85" s="5"/>
    </row>
    <row r="86" spans="6:8" x14ac:dyDescent="0.3">
      <c r="F86" s="6"/>
      <c r="G86" s="5"/>
      <c r="H86" s="5"/>
    </row>
    <row r="87" spans="6:8" x14ac:dyDescent="0.3">
      <c r="F87" s="6"/>
      <c r="G87" s="5"/>
      <c r="H87" s="5"/>
    </row>
    <row r="88" spans="6:8" x14ac:dyDescent="0.3">
      <c r="F88" s="6"/>
      <c r="G88" s="5"/>
      <c r="H88" s="5"/>
    </row>
    <row r="89" spans="6:8" x14ac:dyDescent="0.3">
      <c r="F89" s="6"/>
      <c r="G89" s="5"/>
      <c r="H89" s="5"/>
    </row>
    <row r="90" spans="6:8" x14ac:dyDescent="0.3">
      <c r="F90" s="6"/>
      <c r="G90" s="5"/>
      <c r="H90" s="5"/>
    </row>
    <row r="91" spans="6:8" x14ac:dyDescent="0.3">
      <c r="F91" s="6"/>
      <c r="G91" s="5"/>
      <c r="H91" s="5"/>
    </row>
    <row r="92" spans="6:8" x14ac:dyDescent="0.3">
      <c r="F92" s="6"/>
      <c r="G92" s="5"/>
      <c r="H92" s="5"/>
    </row>
    <row r="93" spans="6:8" x14ac:dyDescent="0.3">
      <c r="F93" s="6"/>
      <c r="G93" s="5"/>
      <c r="H93" s="5"/>
    </row>
    <row r="94" spans="6:8" x14ac:dyDescent="0.3">
      <c r="F94" s="6"/>
      <c r="G94" s="5"/>
      <c r="H94" s="5"/>
    </row>
    <row r="95" spans="6:8" x14ac:dyDescent="0.3">
      <c r="F95" s="6"/>
      <c r="G95" s="5"/>
      <c r="H95" s="5"/>
    </row>
    <row r="96" spans="6:8" x14ac:dyDescent="0.3">
      <c r="F96" s="6"/>
      <c r="G96" s="5"/>
      <c r="H96" s="5"/>
    </row>
    <row r="97" spans="6:8" x14ac:dyDescent="0.3">
      <c r="F97" s="6"/>
      <c r="G97" s="5"/>
      <c r="H97" s="5"/>
    </row>
    <row r="98" spans="6:8" x14ac:dyDescent="0.3">
      <c r="F98" s="6"/>
      <c r="G98" s="5"/>
      <c r="H98" s="5"/>
    </row>
    <row r="99" spans="6:8" x14ac:dyDescent="0.3">
      <c r="F99" s="6"/>
      <c r="G99" s="5"/>
      <c r="H99" s="5"/>
    </row>
    <row r="100" spans="6:8" x14ac:dyDescent="0.3">
      <c r="F100" s="6"/>
      <c r="G100" s="5"/>
      <c r="H100" s="5"/>
    </row>
    <row r="101" spans="6:8" x14ac:dyDescent="0.3">
      <c r="F101" s="6"/>
      <c r="G101" s="5"/>
      <c r="H101" s="5"/>
    </row>
    <row r="102" spans="6:8" x14ac:dyDescent="0.3">
      <c r="F102" s="6"/>
      <c r="G102" s="5"/>
      <c r="H102" s="5"/>
    </row>
    <row r="103" spans="6:8" x14ac:dyDescent="0.3">
      <c r="F103" s="6"/>
      <c r="G103" s="5"/>
      <c r="H103" s="5"/>
    </row>
    <row r="104" spans="6:8" x14ac:dyDescent="0.3">
      <c r="F104" s="6"/>
      <c r="G104" s="5"/>
      <c r="H104" s="5"/>
    </row>
    <row r="105" spans="6:8" x14ac:dyDescent="0.3">
      <c r="F105" s="6"/>
      <c r="G105" s="5"/>
      <c r="H105" s="5"/>
    </row>
    <row r="106" spans="6:8" x14ac:dyDescent="0.3">
      <c r="F106" s="6"/>
      <c r="G106" s="5"/>
      <c r="H106" s="5"/>
    </row>
    <row r="107" spans="6:8" x14ac:dyDescent="0.3">
      <c r="F107" s="6"/>
      <c r="G107" s="5"/>
      <c r="H107" s="5"/>
    </row>
    <row r="108" spans="6:8" x14ac:dyDescent="0.3">
      <c r="F108" s="6"/>
      <c r="G108" s="5"/>
      <c r="H108" s="5"/>
    </row>
    <row r="109" spans="6:8" x14ac:dyDescent="0.3">
      <c r="F109" s="6"/>
      <c r="G109" s="5"/>
      <c r="H109" s="5"/>
    </row>
    <row r="110" spans="6:8" x14ac:dyDescent="0.3">
      <c r="F110" s="6"/>
      <c r="G110" s="5"/>
      <c r="H110" s="5"/>
    </row>
    <row r="111" spans="6:8" x14ac:dyDescent="0.3">
      <c r="F111" s="6"/>
      <c r="G111" s="5"/>
      <c r="H111" s="5"/>
    </row>
    <row r="112" spans="6:8" x14ac:dyDescent="0.3">
      <c r="F112" s="6"/>
      <c r="G112" s="5"/>
      <c r="H112" s="5"/>
    </row>
    <row r="113" spans="6:8" x14ac:dyDescent="0.3">
      <c r="F113" s="6"/>
      <c r="G113" s="5"/>
      <c r="H113" s="5"/>
    </row>
    <row r="114" spans="6:8" x14ac:dyDescent="0.3">
      <c r="F114" s="6"/>
      <c r="G114" s="5"/>
      <c r="H114" s="5"/>
    </row>
    <row r="115" spans="6:8" x14ac:dyDescent="0.3">
      <c r="F115" s="6"/>
      <c r="G115" s="5"/>
      <c r="H115" s="5"/>
    </row>
    <row r="116" spans="6:8" x14ac:dyDescent="0.3">
      <c r="F116" s="6"/>
      <c r="G116" s="5"/>
      <c r="H116" s="5"/>
    </row>
    <row r="117" spans="6:8" x14ac:dyDescent="0.3">
      <c r="F117" s="6"/>
      <c r="G117" s="5"/>
      <c r="H117" s="5"/>
    </row>
    <row r="118" spans="6:8" x14ac:dyDescent="0.3">
      <c r="F118" s="6"/>
      <c r="G118" s="5"/>
      <c r="H118" s="5"/>
    </row>
    <row r="119" spans="6:8" x14ac:dyDescent="0.3">
      <c r="F119" s="6"/>
      <c r="G119" s="5"/>
      <c r="H119" s="5"/>
    </row>
    <row r="120" spans="6:8" x14ac:dyDescent="0.3">
      <c r="F120" s="6"/>
      <c r="G120" s="5"/>
      <c r="H120" s="5"/>
    </row>
    <row r="121" spans="6:8" x14ac:dyDescent="0.3">
      <c r="F121" s="6"/>
      <c r="G121" s="5"/>
      <c r="H121" s="5"/>
    </row>
    <row r="122" spans="6:8" x14ac:dyDescent="0.3">
      <c r="F122" s="6"/>
      <c r="G122" s="5"/>
      <c r="H122" s="5"/>
    </row>
    <row r="123" spans="6:8" x14ac:dyDescent="0.3">
      <c r="F123" s="6"/>
      <c r="G123" s="5"/>
      <c r="H123" s="5"/>
    </row>
    <row r="124" spans="6:8" x14ac:dyDescent="0.3">
      <c r="F124" s="6"/>
      <c r="G124" s="5"/>
      <c r="H124" s="5"/>
    </row>
    <row r="125" spans="6:8" x14ac:dyDescent="0.3">
      <c r="F125" s="6"/>
      <c r="G125" s="5"/>
      <c r="H125" s="5"/>
    </row>
    <row r="126" spans="6:8" x14ac:dyDescent="0.3">
      <c r="F126" s="6"/>
      <c r="G126" s="5"/>
      <c r="H126" s="5"/>
    </row>
    <row r="127" spans="6:8" x14ac:dyDescent="0.3">
      <c r="F127" s="6"/>
      <c r="G127" s="5"/>
      <c r="H127" s="5"/>
    </row>
    <row r="128" spans="6:8" x14ac:dyDescent="0.3">
      <c r="F128" s="6"/>
      <c r="G128" s="5"/>
      <c r="H128" s="5"/>
    </row>
    <row r="129" spans="6:8" x14ac:dyDescent="0.3">
      <c r="F129" s="6"/>
      <c r="G129" s="5"/>
      <c r="H129" s="5"/>
    </row>
    <row r="130" spans="6:8" x14ac:dyDescent="0.3">
      <c r="F130" s="6"/>
      <c r="G130" s="5"/>
      <c r="H130" s="5"/>
    </row>
    <row r="131" spans="6:8" x14ac:dyDescent="0.3">
      <c r="F131" s="6"/>
      <c r="G131" s="5"/>
      <c r="H131" s="5"/>
    </row>
    <row r="132" spans="6:8" x14ac:dyDescent="0.3">
      <c r="F132" s="6"/>
      <c r="G132" s="5"/>
      <c r="H132" s="5"/>
    </row>
    <row r="133" spans="6:8" x14ac:dyDescent="0.3">
      <c r="F133" s="6"/>
      <c r="G133" s="5"/>
      <c r="H133" s="5"/>
    </row>
    <row r="134" spans="6:8" x14ac:dyDescent="0.3">
      <c r="F134" s="6"/>
      <c r="G134" s="5"/>
      <c r="H134" s="5"/>
    </row>
    <row r="135" spans="6:8" x14ac:dyDescent="0.3">
      <c r="F135" s="6"/>
      <c r="G135" s="5"/>
      <c r="H135" s="5"/>
    </row>
    <row r="136" spans="6:8" x14ac:dyDescent="0.3">
      <c r="F136" s="6"/>
      <c r="G136" s="5"/>
      <c r="H136" s="5"/>
    </row>
    <row r="137" spans="6:8" x14ac:dyDescent="0.3">
      <c r="F137" s="6"/>
      <c r="G137" s="5"/>
      <c r="H137" s="5"/>
    </row>
    <row r="138" spans="6:8" x14ac:dyDescent="0.3">
      <c r="F138" s="6"/>
      <c r="G138" s="5"/>
      <c r="H138" s="5"/>
    </row>
    <row r="139" spans="6:8" x14ac:dyDescent="0.3">
      <c r="F139" s="6"/>
      <c r="G139" s="5"/>
      <c r="H139" s="5"/>
    </row>
    <row r="140" spans="6:8" x14ac:dyDescent="0.3">
      <c r="F140" s="6"/>
      <c r="G140" s="5"/>
      <c r="H140" s="5"/>
    </row>
    <row r="141" spans="6:8" x14ac:dyDescent="0.3">
      <c r="F141" s="6"/>
      <c r="G141" s="5"/>
      <c r="H141" s="5"/>
    </row>
    <row r="142" spans="6:8" x14ac:dyDescent="0.3">
      <c r="F142" s="6"/>
      <c r="G142" s="5"/>
      <c r="H142" s="5"/>
    </row>
    <row r="143" spans="6:8" x14ac:dyDescent="0.3">
      <c r="F143" s="6"/>
      <c r="G143" s="5"/>
      <c r="H143" s="5"/>
    </row>
    <row r="144" spans="6:8" x14ac:dyDescent="0.3">
      <c r="F144" s="6"/>
      <c r="G144" s="5"/>
      <c r="H144" s="5"/>
    </row>
    <row r="145" spans="6:8" x14ac:dyDescent="0.3">
      <c r="F145" s="6"/>
      <c r="G145" s="5"/>
      <c r="H145" s="5"/>
    </row>
    <row r="146" spans="6:8" x14ac:dyDescent="0.3">
      <c r="F146" s="6"/>
      <c r="G146" s="5"/>
      <c r="H146" s="5"/>
    </row>
    <row r="147" spans="6:8" x14ac:dyDescent="0.3">
      <c r="F147" s="6"/>
      <c r="G147" s="5"/>
      <c r="H147" s="5"/>
    </row>
    <row r="148" spans="6:8" x14ac:dyDescent="0.3">
      <c r="F148" s="6"/>
      <c r="G148" s="5"/>
      <c r="H148" s="5"/>
    </row>
    <row r="149" spans="6:8" x14ac:dyDescent="0.3">
      <c r="F149" s="6"/>
      <c r="G149" s="5"/>
      <c r="H149" s="5"/>
    </row>
    <row r="150" spans="6:8" x14ac:dyDescent="0.3">
      <c r="F150" s="6"/>
      <c r="G150" s="5"/>
      <c r="H150" s="5"/>
    </row>
    <row r="151" spans="6:8" x14ac:dyDescent="0.3">
      <c r="F151" s="6"/>
      <c r="G151" s="5"/>
      <c r="H151" s="5"/>
    </row>
    <row r="152" spans="6:8" x14ac:dyDescent="0.3">
      <c r="F152" s="6"/>
      <c r="G152" s="5"/>
      <c r="H152" s="5"/>
    </row>
    <row r="153" spans="6:8" x14ac:dyDescent="0.3">
      <c r="F153" s="6"/>
      <c r="G153" s="5"/>
      <c r="H153" s="5"/>
    </row>
    <row r="154" spans="6:8" x14ac:dyDescent="0.3">
      <c r="F154" s="6"/>
      <c r="G154" s="5"/>
      <c r="H154" s="5"/>
    </row>
    <row r="155" spans="6:8" x14ac:dyDescent="0.3">
      <c r="F155" s="6"/>
      <c r="G155" s="5"/>
      <c r="H155" s="5"/>
    </row>
    <row r="156" spans="6:8" x14ac:dyDescent="0.3">
      <c r="F156" s="6"/>
      <c r="G156" s="5"/>
      <c r="H156" s="5"/>
    </row>
    <row r="157" spans="6:8" x14ac:dyDescent="0.3">
      <c r="F157" s="6"/>
      <c r="G157" s="5"/>
      <c r="H157" s="5"/>
    </row>
    <row r="158" spans="6:8" x14ac:dyDescent="0.3">
      <c r="F158" s="6"/>
      <c r="G158" s="5"/>
      <c r="H158" s="5"/>
    </row>
    <row r="159" spans="6:8" x14ac:dyDescent="0.3">
      <c r="F159" s="6"/>
      <c r="G159" s="5"/>
      <c r="H159" s="5"/>
    </row>
    <row r="160" spans="6:8" x14ac:dyDescent="0.3">
      <c r="F160" s="6"/>
      <c r="G160" s="5"/>
      <c r="H160" s="5"/>
    </row>
    <row r="161" spans="6:8" x14ac:dyDescent="0.3">
      <c r="F161" s="6"/>
      <c r="G161" s="5"/>
      <c r="H161" s="5"/>
    </row>
    <row r="162" spans="6:8" x14ac:dyDescent="0.3">
      <c r="F162" s="6"/>
      <c r="G162" s="5"/>
      <c r="H162" s="5"/>
    </row>
    <row r="163" spans="6:8" x14ac:dyDescent="0.3">
      <c r="F163" s="6"/>
      <c r="G163" s="5"/>
      <c r="H163" s="5"/>
    </row>
    <row r="164" spans="6:8" x14ac:dyDescent="0.3">
      <c r="F164" s="6"/>
      <c r="G164" s="5"/>
      <c r="H164" s="5"/>
    </row>
    <row r="165" spans="6:8" x14ac:dyDescent="0.3">
      <c r="F165" s="6"/>
      <c r="G165" s="5"/>
      <c r="H165" s="5"/>
    </row>
    <row r="166" spans="6:8" x14ac:dyDescent="0.3">
      <c r="F166" s="6"/>
      <c r="G166" s="5"/>
      <c r="H166" s="5"/>
    </row>
    <row r="167" spans="6:8" x14ac:dyDescent="0.3">
      <c r="F167" s="6"/>
      <c r="G167" s="5"/>
      <c r="H167" s="5"/>
    </row>
    <row r="168" spans="6:8" x14ac:dyDescent="0.3">
      <c r="F168" s="6"/>
      <c r="G168" s="5"/>
      <c r="H168" s="5"/>
    </row>
    <row r="169" spans="6:8" x14ac:dyDescent="0.3">
      <c r="F169" s="6"/>
      <c r="G169" s="5"/>
      <c r="H169" s="5"/>
    </row>
    <row r="170" spans="6:8" x14ac:dyDescent="0.3">
      <c r="F170" s="6"/>
      <c r="G170" s="5"/>
      <c r="H170" s="5"/>
    </row>
    <row r="171" spans="6:8" x14ac:dyDescent="0.3">
      <c r="F171" s="6"/>
      <c r="G171" s="5"/>
      <c r="H171" s="5"/>
    </row>
    <row r="172" spans="6:8" x14ac:dyDescent="0.3">
      <c r="F172" s="6"/>
      <c r="G172" s="5"/>
      <c r="H172" s="5"/>
    </row>
    <row r="173" spans="6:8" x14ac:dyDescent="0.3">
      <c r="F173" s="6"/>
      <c r="G173" s="5"/>
      <c r="H173" s="5"/>
    </row>
    <row r="174" spans="6:8" x14ac:dyDescent="0.3">
      <c r="F174" s="6"/>
      <c r="G174" s="5"/>
      <c r="H174" s="5"/>
    </row>
    <row r="175" spans="6:8" x14ac:dyDescent="0.3">
      <c r="F175" s="6"/>
      <c r="G175" s="5"/>
      <c r="H175" s="5"/>
    </row>
    <row r="176" spans="6:8" x14ac:dyDescent="0.3">
      <c r="F176" s="6"/>
      <c r="G176" s="5"/>
      <c r="H176" s="5"/>
    </row>
    <row r="177" spans="6:8" x14ac:dyDescent="0.3">
      <c r="F177" s="6"/>
      <c r="G177" s="5"/>
      <c r="H177" s="5"/>
    </row>
    <row r="178" spans="6:8" x14ac:dyDescent="0.3">
      <c r="F178" s="6"/>
      <c r="G178" s="5"/>
      <c r="H178" s="5"/>
    </row>
    <row r="179" spans="6:8" x14ac:dyDescent="0.3">
      <c r="F179" s="6"/>
      <c r="G179" s="5"/>
      <c r="H179" s="5"/>
    </row>
    <row r="180" spans="6:8" x14ac:dyDescent="0.3">
      <c r="F180" s="6"/>
      <c r="G180" s="5"/>
      <c r="H180" s="5"/>
    </row>
    <row r="181" spans="6:8" x14ac:dyDescent="0.3">
      <c r="F181" s="6"/>
      <c r="G181" s="5"/>
      <c r="H181" s="5"/>
    </row>
    <row r="182" spans="6:8" x14ac:dyDescent="0.3">
      <c r="F182" s="6"/>
      <c r="G182" s="5"/>
      <c r="H182" s="5"/>
    </row>
    <row r="183" spans="6:8" x14ac:dyDescent="0.3">
      <c r="F183" s="6"/>
      <c r="G183" s="5"/>
      <c r="H183" s="5"/>
    </row>
    <row r="184" spans="6:8" x14ac:dyDescent="0.3">
      <c r="F184" s="6"/>
      <c r="G184" s="5"/>
      <c r="H184" s="5"/>
    </row>
    <row r="185" spans="6:8" x14ac:dyDescent="0.3">
      <c r="F185" s="6"/>
      <c r="G185" s="5"/>
      <c r="H185" s="5"/>
    </row>
    <row r="186" spans="6:8" x14ac:dyDescent="0.3">
      <c r="F186" s="6"/>
      <c r="G186" s="5"/>
      <c r="H186" s="5"/>
    </row>
    <row r="187" spans="6:8" x14ac:dyDescent="0.3">
      <c r="F187" s="6"/>
      <c r="G187" s="5"/>
      <c r="H187" s="5"/>
    </row>
    <row r="188" spans="6:8" x14ac:dyDescent="0.3">
      <c r="F188" s="6"/>
      <c r="G188" s="5"/>
      <c r="H188" s="5"/>
    </row>
    <row r="189" spans="6:8" x14ac:dyDescent="0.3">
      <c r="F189" s="6"/>
      <c r="G189" s="5"/>
      <c r="H189" s="5"/>
    </row>
    <row r="190" spans="6:8" x14ac:dyDescent="0.3">
      <c r="F190" s="6"/>
      <c r="G190" s="5"/>
      <c r="H190" s="5"/>
    </row>
    <row r="191" spans="6:8" x14ac:dyDescent="0.3">
      <c r="F191" s="6"/>
      <c r="G191" s="5"/>
      <c r="H191" s="5"/>
    </row>
    <row r="192" spans="6:8" x14ac:dyDescent="0.3">
      <c r="F192" s="6"/>
      <c r="G192" s="5"/>
      <c r="H192" s="5"/>
    </row>
    <row r="193" spans="6:8" x14ac:dyDescent="0.3">
      <c r="F193" s="6"/>
      <c r="G193" s="5"/>
      <c r="H193" s="5"/>
    </row>
    <row r="194" spans="6:8" x14ac:dyDescent="0.3">
      <c r="F194" s="6"/>
      <c r="G194" s="5"/>
      <c r="H194" s="5"/>
    </row>
    <row r="195" spans="6:8" x14ac:dyDescent="0.3">
      <c r="F195" s="6"/>
      <c r="G195" s="5"/>
      <c r="H195" s="5"/>
    </row>
    <row r="196" spans="6:8" x14ac:dyDescent="0.3">
      <c r="F196" s="6"/>
      <c r="G196" s="5"/>
      <c r="H196" s="5"/>
    </row>
    <row r="197" spans="6:8" x14ac:dyDescent="0.3">
      <c r="F197" s="6"/>
      <c r="G197" s="5"/>
      <c r="H197" s="5"/>
    </row>
    <row r="198" spans="6:8" x14ac:dyDescent="0.3">
      <c r="F198" s="6"/>
      <c r="G198" s="5"/>
      <c r="H198" s="5"/>
    </row>
    <row r="199" spans="6:8" x14ac:dyDescent="0.3">
      <c r="F199" s="6"/>
      <c r="G199" s="5"/>
      <c r="H199" s="5"/>
    </row>
    <row r="200" spans="6:8" x14ac:dyDescent="0.3">
      <c r="F200" s="6"/>
      <c r="G200" s="5"/>
      <c r="H200" s="5"/>
    </row>
    <row r="201" spans="6:8" x14ac:dyDescent="0.3">
      <c r="F201" s="6"/>
      <c r="G201" s="5"/>
      <c r="H201" s="5"/>
    </row>
    <row r="202" spans="6:8" x14ac:dyDescent="0.3">
      <c r="F202" s="6"/>
      <c r="G202" s="5"/>
      <c r="H202" s="5"/>
    </row>
    <row r="203" spans="6:8" x14ac:dyDescent="0.3">
      <c r="F203" s="6"/>
      <c r="G203" s="5"/>
      <c r="H203" s="5"/>
    </row>
    <row r="204" spans="6:8" x14ac:dyDescent="0.3">
      <c r="F204" s="6"/>
      <c r="G204" s="5"/>
      <c r="H204" s="5"/>
    </row>
    <row r="205" spans="6:8" x14ac:dyDescent="0.3">
      <c r="F205" s="6"/>
      <c r="G205" s="5"/>
      <c r="H205" s="5"/>
    </row>
    <row r="206" spans="6:8" x14ac:dyDescent="0.3">
      <c r="F206" s="6"/>
      <c r="G206" s="5"/>
      <c r="H206" s="5"/>
    </row>
    <row r="207" spans="6:8" x14ac:dyDescent="0.3">
      <c r="F207" s="6"/>
      <c r="G207" s="5"/>
      <c r="H207" s="5"/>
    </row>
    <row r="208" spans="6:8" x14ac:dyDescent="0.3">
      <c r="F208" s="6"/>
      <c r="G208" s="5"/>
      <c r="H208" s="5"/>
    </row>
    <row r="209" spans="6:8" x14ac:dyDescent="0.3">
      <c r="F209" s="6"/>
      <c r="G209" s="5"/>
      <c r="H209" s="5"/>
    </row>
    <row r="210" spans="6:8" x14ac:dyDescent="0.3">
      <c r="F210" s="6"/>
      <c r="G210" s="5"/>
      <c r="H210" s="5"/>
    </row>
    <row r="211" spans="6:8" x14ac:dyDescent="0.3">
      <c r="F211" s="6"/>
      <c r="G211" s="5"/>
      <c r="H211" s="5"/>
    </row>
    <row r="212" spans="6:8" x14ac:dyDescent="0.3">
      <c r="F212" s="6"/>
      <c r="G212" s="5"/>
      <c r="H212" s="5"/>
    </row>
    <row r="213" spans="6:8" x14ac:dyDescent="0.3">
      <c r="F213" s="6"/>
      <c r="G213" s="5"/>
      <c r="H213" s="5"/>
    </row>
    <row r="214" spans="6:8" x14ac:dyDescent="0.3">
      <c r="F214" s="6"/>
      <c r="G214" s="5"/>
      <c r="H214" s="5"/>
    </row>
    <row r="215" spans="6:8" x14ac:dyDescent="0.3">
      <c r="F215" s="6"/>
      <c r="G215" s="5"/>
      <c r="H215" s="5"/>
    </row>
    <row r="216" spans="6:8" x14ac:dyDescent="0.3">
      <c r="F216" s="6"/>
      <c r="G216" s="5"/>
      <c r="H216" s="5"/>
    </row>
    <row r="217" spans="6:8" x14ac:dyDescent="0.3">
      <c r="F217" s="6"/>
      <c r="G217" s="5"/>
      <c r="H217" s="5"/>
    </row>
    <row r="218" spans="6:8" x14ac:dyDescent="0.3">
      <c r="F218" s="6"/>
      <c r="G218" s="5"/>
      <c r="H218" s="5"/>
    </row>
    <row r="219" spans="6:8" x14ac:dyDescent="0.3">
      <c r="F219" s="6"/>
      <c r="G219" s="5"/>
      <c r="H219" s="5"/>
    </row>
    <row r="220" spans="6:8" x14ac:dyDescent="0.3">
      <c r="F220" s="6"/>
      <c r="G220" s="5"/>
      <c r="H220" s="5"/>
    </row>
    <row r="221" spans="6:8" x14ac:dyDescent="0.3">
      <c r="F221" s="6"/>
      <c r="G221" s="5"/>
      <c r="H221" s="5"/>
    </row>
    <row r="222" spans="6:8" x14ac:dyDescent="0.3">
      <c r="F222" s="6"/>
      <c r="G222" s="5"/>
      <c r="H222" s="5"/>
    </row>
    <row r="223" spans="6:8" x14ac:dyDescent="0.3">
      <c r="F223" s="6"/>
      <c r="G223" s="5"/>
      <c r="H223" s="5"/>
    </row>
    <row r="224" spans="6:8" x14ac:dyDescent="0.3">
      <c r="F224" s="6"/>
      <c r="G224" s="5"/>
      <c r="H224" s="5"/>
    </row>
    <row r="225" spans="6:8" x14ac:dyDescent="0.3">
      <c r="F225" s="6"/>
      <c r="G225" s="5"/>
      <c r="H225" s="5"/>
    </row>
    <row r="226" spans="6:8" x14ac:dyDescent="0.3">
      <c r="F226" s="6"/>
      <c r="G226" s="5"/>
      <c r="H226" s="5"/>
    </row>
    <row r="227" spans="6:8" x14ac:dyDescent="0.3">
      <c r="F227" s="6"/>
      <c r="G227" s="5"/>
      <c r="H227" s="5"/>
    </row>
    <row r="228" spans="6:8" x14ac:dyDescent="0.3">
      <c r="F228" s="6"/>
      <c r="G228" s="5"/>
      <c r="H228" s="5"/>
    </row>
    <row r="229" spans="6:8" x14ac:dyDescent="0.3">
      <c r="F229" s="6"/>
      <c r="G229" s="5"/>
      <c r="H229" s="5"/>
    </row>
    <row r="230" spans="6:8" x14ac:dyDescent="0.3">
      <c r="F230" s="6"/>
      <c r="G230" s="5"/>
      <c r="H230" s="5"/>
    </row>
    <row r="231" spans="6:8" x14ac:dyDescent="0.3">
      <c r="F231" s="6"/>
      <c r="G231" s="5"/>
      <c r="H231" s="5"/>
    </row>
    <row r="232" spans="6:8" x14ac:dyDescent="0.3">
      <c r="F232" s="6"/>
      <c r="G232" s="5"/>
      <c r="H232" s="5"/>
    </row>
    <row r="233" spans="6:8" x14ac:dyDescent="0.3">
      <c r="F233" s="6"/>
      <c r="G233" s="5"/>
      <c r="H233" s="5"/>
    </row>
    <row r="234" spans="6:8" x14ac:dyDescent="0.3">
      <c r="F234" s="6"/>
      <c r="G234" s="5"/>
      <c r="H234" s="5"/>
    </row>
    <row r="235" spans="6:8" x14ac:dyDescent="0.3">
      <c r="F235" s="6"/>
      <c r="G235" s="5"/>
      <c r="H235" s="5"/>
    </row>
    <row r="236" spans="6:8" x14ac:dyDescent="0.3">
      <c r="F236" s="6"/>
      <c r="G236" s="5"/>
      <c r="H236" s="5"/>
    </row>
    <row r="237" spans="6:8" x14ac:dyDescent="0.3">
      <c r="F237" s="6"/>
      <c r="G237" s="5"/>
      <c r="H237" s="5"/>
    </row>
    <row r="238" spans="6:8" x14ac:dyDescent="0.3">
      <c r="F238" s="6"/>
      <c r="G238" s="5"/>
      <c r="H238" s="5"/>
    </row>
    <row r="239" spans="6:8" x14ac:dyDescent="0.3">
      <c r="F239" s="6"/>
      <c r="G239" s="5"/>
      <c r="H239" s="5"/>
    </row>
    <row r="240" spans="6:8" x14ac:dyDescent="0.3">
      <c r="F240" s="6"/>
      <c r="G240" s="5"/>
      <c r="H240" s="5"/>
    </row>
    <row r="241" spans="6:8" x14ac:dyDescent="0.3">
      <c r="F241" s="6"/>
      <c r="G241" s="5"/>
      <c r="H241" s="5"/>
    </row>
    <row r="242" spans="6:8" x14ac:dyDescent="0.3">
      <c r="F242" s="6"/>
      <c r="G242" s="5"/>
      <c r="H242" s="5"/>
    </row>
    <row r="243" spans="6:8" x14ac:dyDescent="0.3">
      <c r="F243" s="6"/>
      <c r="G243" s="5"/>
      <c r="H243" s="5"/>
    </row>
    <row r="244" spans="6:8" x14ac:dyDescent="0.3">
      <c r="F244" s="6"/>
      <c r="G244" s="5"/>
      <c r="H244" s="5"/>
    </row>
    <row r="245" spans="6:8" x14ac:dyDescent="0.3">
      <c r="F245" s="6"/>
      <c r="G245" s="5"/>
      <c r="H245" s="5"/>
    </row>
    <row r="246" spans="6:8" x14ac:dyDescent="0.3">
      <c r="F246" s="6"/>
      <c r="G246" s="5"/>
      <c r="H246" s="5"/>
    </row>
    <row r="247" spans="6:8" x14ac:dyDescent="0.3">
      <c r="F247" s="6"/>
      <c r="G247" s="5"/>
      <c r="H247" s="5"/>
    </row>
    <row r="248" spans="6:8" x14ac:dyDescent="0.3">
      <c r="F248" s="6"/>
      <c r="G248" s="5"/>
      <c r="H248" s="5"/>
    </row>
    <row r="249" spans="6:8" x14ac:dyDescent="0.3">
      <c r="F249" s="6"/>
      <c r="G249" s="5"/>
      <c r="H249" s="5"/>
    </row>
    <row r="250" spans="6:8" x14ac:dyDescent="0.3">
      <c r="F250" s="6"/>
      <c r="G250" s="5"/>
      <c r="H250" s="5"/>
    </row>
    <row r="251" spans="6:8" x14ac:dyDescent="0.3">
      <c r="F251" s="6"/>
      <c r="G251" s="5"/>
      <c r="H251" s="5"/>
    </row>
    <row r="252" spans="6:8" x14ac:dyDescent="0.3">
      <c r="F252" s="6"/>
      <c r="G252" s="5"/>
      <c r="H252" s="5"/>
    </row>
    <row r="253" spans="6:8" x14ac:dyDescent="0.3">
      <c r="F253" s="6"/>
      <c r="G253" s="5"/>
      <c r="H253" s="5"/>
    </row>
    <row r="254" spans="6:8" x14ac:dyDescent="0.3">
      <c r="F254" s="6"/>
      <c r="G254" s="5"/>
      <c r="H254" s="5"/>
    </row>
    <row r="255" spans="6:8" x14ac:dyDescent="0.3">
      <c r="F255" s="6"/>
      <c r="G255" s="5"/>
      <c r="H255" s="5"/>
    </row>
    <row r="256" spans="6:8" x14ac:dyDescent="0.3">
      <c r="F256" s="6"/>
      <c r="G256" s="5"/>
      <c r="H256" s="5"/>
    </row>
    <row r="257" spans="6:8" x14ac:dyDescent="0.3">
      <c r="F257" s="6"/>
      <c r="G257" s="5"/>
      <c r="H257" s="5"/>
    </row>
    <row r="258" spans="6:8" x14ac:dyDescent="0.3">
      <c r="F258" s="6"/>
      <c r="G258" s="5"/>
      <c r="H258" s="5"/>
    </row>
    <row r="259" spans="6:8" x14ac:dyDescent="0.3">
      <c r="F259" s="6"/>
      <c r="G259" s="5"/>
      <c r="H259" s="5"/>
    </row>
    <row r="260" spans="6:8" x14ac:dyDescent="0.3">
      <c r="F260" s="6"/>
      <c r="G260" s="5"/>
      <c r="H260" s="5"/>
    </row>
    <row r="261" spans="6:8" x14ac:dyDescent="0.3">
      <c r="F261" s="6"/>
      <c r="G261" s="5"/>
      <c r="H261" s="5"/>
    </row>
    <row r="262" spans="6:8" x14ac:dyDescent="0.3">
      <c r="F262" s="6"/>
      <c r="G262" s="5"/>
      <c r="H262" s="5"/>
    </row>
    <row r="263" spans="6:8" x14ac:dyDescent="0.3">
      <c r="F263" s="6"/>
      <c r="G263" s="5"/>
      <c r="H263" s="5"/>
    </row>
    <row r="264" spans="6:8" x14ac:dyDescent="0.3">
      <c r="F264" s="6"/>
      <c r="G264" s="5"/>
      <c r="H264" s="5"/>
    </row>
    <row r="265" spans="6:8" x14ac:dyDescent="0.3">
      <c r="F265" s="6"/>
      <c r="G265" s="5"/>
      <c r="H265" s="5"/>
    </row>
    <row r="266" spans="6:8" x14ac:dyDescent="0.3">
      <c r="F266" s="6"/>
      <c r="G266" s="5"/>
      <c r="H266" s="5"/>
    </row>
    <row r="267" spans="6:8" x14ac:dyDescent="0.3">
      <c r="F267" s="6"/>
      <c r="G267" s="5"/>
      <c r="H267" s="5"/>
    </row>
    <row r="268" spans="6:8" x14ac:dyDescent="0.3">
      <c r="F268" s="6"/>
      <c r="G268" s="5"/>
      <c r="H268" s="5"/>
    </row>
    <row r="269" spans="6:8" x14ac:dyDescent="0.3">
      <c r="F269" s="6"/>
      <c r="G269" s="5"/>
      <c r="H269" s="5"/>
    </row>
    <row r="270" spans="6:8" x14ac:dyDescent="0.3">
      <c r="F270" s="6"/>
      <c r="G270" s="5"/>
      <c r="H270" s="5"/>
    </row>
    <row r="271" spans="6:8" x14ac:dyDescent="0.3">
      <c r="F271" s="6"/>
      <c r="G271" s="5"/>
      <c r="H271" s="5"/>
    </row>
    <row r="272" spans="6:8" x14ac:dyDescent="0.3">
      <c r="F272" s="6"/>
      <c r="G272" s="5"/>
      <c r="H272" s="5"/>
    </row>
    <row r="273" spans="6:8" x14ac:dyDescent="0.3">
      <c r="F273" s="6"/>
      <c r="G273" s="5"/>
      <c r="H273" s="5"/>
    </row>
    <row r="274" spans="6:8" x14ac:dyDescent="0.3">
      <c r="F274" s="6"/>
      <c r="G274" s="5"/>
      <c r="H274" s="5"/>
    </row>
    <row r="275" spans="6:8" x14ac:dyDescent="0.3">
      <c r="F275" s="6"/>
      <c r="G275" s="5"/>
      <c r="H275" s="5"/>
    </row>
    <row r="276" spans="6:8" x14ac:dyDescent="0.3">
      <c r="F276" s="6"/>
      <c r="G276" s="5"/>
      <c r="H276" s="5"/>
    </row>
    <row r="277" spans="6:8" x14ac:dyDescent="0.3">
      <c r="F277" s="6"/>
      <c r="G277" s="5"/>
      <c r="H277" s="5"/>
    </row>
    <row r="278" spans="6:8" x14ac:dyDescent="0.3">
      <c r="F278" s="6"/>
      <c r="G278" s="5"/>
      <c r="H278" s="5"/>
    </row>
    <row r="279" spans="6:8" x14ac:dyDescent="0.3">
      <c r="F279" s="6"/>
      <c r="G279" s="5"/>
      <c r="H279" s="5"/>
    </row>
    <row r="280" spans="6:8" x14ac:dyDescent="0.3">
      <c r="F280" s="6"/>
      <c r="G280" s="5"/>
      <c r="H280" s="5"/>
    </row>
    <row r="281" spans="6:8" x14ac:dyDescent="0.3">
      <c r="F281" s="6"/>
      <c r="G281" s="5"/>
      <c r="H281" s="5"/>
    </row>
    <row r="282" spans="6:8" x14ac:dyDescent="0.3">
      <c r="F282" s="6"/>
      <c r="G282" s="5"/>
      <c r="H282" s="5"/>
    </row>
    <row r="283" spans="6:8" x14ac:dyDescent="0.3">
      <c r="F283" s="6"/>
      <c r="G283" s="5"/>
      <c r="H283" s="5"/>
    </row>
    <row r="284" spans="6:8" x14ac:dyDescent="0.3">
      <c r="F284" s="6"/>
      <c r="G284" s="5"/>
      <c r="H284" s="5"/>
    </row>
    <row r="285" spans="6:8" x14ac:dyDescent="0.3">
      <c r="F285" s="6"/>
      <c r="G285" s="5"/>
      <c r="H285" s="5"/>
    </row>
    <row r="286" spans="6:8" x14ac:dyDescent="0.3">
      <c r="F286" s="6"/>
      <c r="G286" s="5"/>
      <c r="H286" s="5"/>
    </row>
    <row r="287" spans="6:8" x14ac:dyDescent="0.3">
      <c r="F287" s="6"/>
      <c r="G287" s="5"/>
      <c r="H287" s="5"/>
    </row>
    <row r="288" spans="6:8" x14ac:dyDescent="0.3">
      <c r="F288" s="6"/>
      <c r="G288" s="5"/>
      <c r="H288" s="5"/>
    </row>
    <row r="289" spans="6:8" x14ac:dyDescent="0.3">
      <c r="F289" s="6"/>
      <c r="G289" s="5"/>
      <c r="H289" s="5"/>
    </row>
    <row r="290" spans="6:8" x14ac:dyDescent="0.3">
      <c r="F290" s="6"/>
      <c r="G290" s="5"/>
      <c r="H290" s="5"/>
    </row>
    <row r="291" spans="6:8" x14ac:dyDescent="0.3">
      <c r="F291" s="6"/>
      <c r="G291" s="5"/>
      <c r="H291" s="5"/>
    </row>
    <row r="292" spans="6:8" x14ac:dyDescent="0.3">
      <c r="F292" s="6"/>
      <c r="G292" s="5"/>
      <c r="H292" s="5"/>
    </row>
    <row r="293" spans="6:8" x14ac:dyDescent="0.3">
      <c r="F293" s="6"/>
      <c r="G293" s="5"/>
      <c r="H293" s="5"/>
    </row>
    <row r="294" spans="6:8" x14ac:dyDescent="0.3">
      <c r="F294" s="6"/>
      <c r="G294" s="5"/>
      <c r="H294" s="5"/>
    </row>
    <row r="295" spans="6:8" x14ac:dyDescent="0.3">
      <c r="F295" s="6"/>
      <c r="G295" s="5"/>
      <c r="H295" s="5"/>
    </row>
    <row r="296" spans="6:8" x14ac:dyDescent="0.3">
      <c r="F296" s="6"/>
      <c r="G296" s="5"/>
      <c r="H296" s="5"/>
    </row>
    <row r="297" spans="6:8" x14ac:dyDescent="0.3">
      <c r="F297" s="6"/>
      <c r="G297" s="5"/>
      <c r="H297" s="5"/>
    </row>
    <row r="298" spans="6:8" x14ac:dyDescent="0.3">
      <c r="F298" s="6"/>
      <c r="G298" s="5"/>
      <c r="H298" s="5"/>
    </row>
    <row r="299" spans="6:8" x14ac:dyDescent="0.3">
      <c r="F299" s="6"/>
      <c r="G299" s="5"/>
      <c r="H299" s="5"/>
    </row>
    <row r="300" spans="6:8" x14ac:dyDescent="0.3">
      <c r="F300" s="6"/>
      <c r="G300" s="5"/>
      <c r="H300" s="5"/>
    </row>
    <row r="301" spans="6:8" x14ac:dyDescent="0.3">
      <c r="F301" s="6"/>
      <c r="G301" s="5"/>
      <c r="H301" s="5"/>
    </row>
    <row r="302" spans="6:8" x14ac:dyDescent="0.3">
      <c r="F302" s="6"/>
      <c r="G302" s="5"/>
      <c r="H302" s="5"/>
    </row>
    <row r="303" spans="6:8" x14ac:dyDescent="0.3">
      <c r="F303" s="6"/>
      <c r="G303" s="5"/>
      <c r="H303" s="5"/>
    </row>
    <row r="304" spans="6:8" x14ac:dyDescent="0.3">
      <c r="F304" s="6"/>
      <c r="G304" s="5"/>
      <c r="H304" s="5"/>
    </row>
    <row r="305" spans="6:8" x14ac:dyDescent="0.3">
      <c r="F305" s="6"/>
      <c r="G305" s="5"/>
      <c r="H305" s="5"/>
    </row>
    <row r="306" spans="6:8" x14ac:dyDescent="0.3">
      <c r="F306" s="6"/>
      <c r="G306" s="5"/>
      <c r="H306" s="5"/>
    </row>
    <row r="307" spans="6:8" x14ac:dyDescent="0.3">
      <c r="F307" s="6"/>
      <c r="G307" s="5"/>
      <c r="H307" s="5"/>
    </row>
    <row r="308" spans="6:8" x14ac:dyDescent="0.3">
      <c r="F308" s="6"/>
      <c r="G308" s="5"/>
      <c r="H308" s="5"/>
    </row>
    <row r="309" spans="6:8" x14ac:dyDescent="0.3">
      <c r="F309" s="6"/>
      <c r="G309" s="5"/>
      <c r="H309" s="5"/>
    </row>
    <row r="310" spans="6:8" x14ac:dyDescent="0.3">
      <c r="F310" s="6"/>
      <c r="G310" s="5"/>
      <c r="H310" s="5"/>
    </row>
    <row r="311" spans="6:8" x14ac:dyDescent="0.3">
      <c r="F311" s="6"/>
      <c r="G311" s="5"/>
      <c r="H311" s="5"/>
    </row>
    <row r="312" spans="6:8" x14ac:dyDescent="0.3">
      <c r="F312" s="6"/>
      <c r="G312" s="5"/>
      <c r="H312" s="5"/>
    </row>
    <row r="313" spans="6:8" x14ac:dyDescent="0.3">
      <c r="F313" s="6"/>
      <c r="G313" s="5"/>
      <c r="H313" s="5"/>
    </row>
    <row r="314" spans="6:8" x14ac:dyDescent="0.3">
      <c r="F314" s="6"/>
      <c r="G314" s="5"/>
      <c r="H314" s="5"/>
    </row>
    <row r="315" spans="6:8" x14ac:dyDescent="0.3">
      <c r="F315" s="6"/>
      <c r="G315" s="5"/>
      <c r="H315" s="5"/>
    </row>
    <row r="316" spans="6:8" x14ac:dyDescent="0.3">
      <c r="F316" s="6"/>
      <c r="G316" s="5"/>
      <c r="H316" s="5"/>
    </row>
    <row r="317" spans="6:8" x14ac:dyDescent="0.3">
      <c r="F317" s="6"/>
      <c r="G317" s="5"/>
      <c r="H317" s="5"/>
    </row>
    <row r="318" spans="6:8" x14ac:dyDescent="0.3">
      <c r="F318" s="6"/>
      <c r="G318" s="5"/>
      <c r="H318" s="5"/>
    </row>
    <row r="319" spans="6:8" x14ac:dyDescent="0.3">
      <c r="F319" s="6"/>
      <c r="G319" s="5"/>
      <c r="H319" s="5"/>
    </row>
    <row r="320" spans="6:8" x14ac:dyDescent="0.3">
      <c r="F320" s="6"/>
      <c r="G320" s="5"/>
      <c r="H320" s="5"/>
    </row>
    <row r="321" spans="6:8" x14ac:dyDescent="0.3">
      <c r="F321" s="6"/>
      <c r="G321" s="5"/>
      <c r="H321" s="5"/>
    </row>
    <row r="322" spans="6:8" x14ac:dyDescent="0.3">
      <c r="F322" s="6"/>
      <c r="G322" s="5"/>
      <c r="H322" s="5"/>
    </row>
    <row r="323" spans="6:8" x14ac:dyDescent="0.3">
      <c r="F323" s="6"/>
      <c r="G323" s="5"/>
      <c r="H323" s="5"/>
    </row>
    <row r="324" spans="6:8" x14ac:dyDescent="0.3">
      <c r="F324" s="6"/>
      <c r="G324" s="5"/>
      <c r="H324" s="5"/>
    </row>
    <row r="325" spans="6:8" x14ac:dyDescent="0.3">
      <c r="F325" s="6"/>
      <c r="G325" s="5"/>
      <c r="H325" s="5"/>
    </row>
    <row r="326" spans="6:8" x14ac:dyDescent="0.3">
      <c r="F326" s="6"/>
      <c r="G326" s="5"/>
      <c r="H326" s="5"/>
    </row>
    <row r="327" spans="6:8" x14ac:dyDescent="0.3">
      <c r="F327" s="6"/>
      <c r="G327" s="5"/>
      <c r="H327" s="5"/>
    </row>
    <row r="328" spans="6:8" x14ac:dyDescent="0.3">
      <c r="F328" s="6"/>
      <c r="G328" s="5"/>
      <c r="H328" s="5"/>
    </row>
    <row r="329" spans="6:8" x14ac:dyDescent="0.3">
      <c r="F329" s="6"/>
      <c r="G329" s="5"/>
      <c r="H329" s="5"/>
    </row>
    <row r="330" spans="6:8" x14ac:dyDescent="0.3">
      <c r="F330" s="6"/>
      <c r="G330" s="5"/>
      <c r="H330" s="5"/>
    </row>
    <row r="331" spans="6:8" x14ac:dyDescent="0.3">
      <c r="F331" s="6"/>
      <c r="G331" s="5"/>
      <c r="H331" s="5"/>
    </row>
    <row r="332" spans="6:8" x14ac:dyDescent="0.3">
      <c r="F332" s="6"/>
      <c r="G332" s="5"/>
      <c r="H332" s="5"/>
    </row>
    <row r="333" spans="6:8" x14ac:dyDescent="0.3">
      <c r="F333" s="6"/>
      <c r="G333" s="5"/>
      <c r="H333" s="5"/>
    </row>
    <row r="334" spans="6:8" x14ac:dyDescent="0.3">
      <c r="F334" s="6"/>
      <c r="G334" s="5"/>
      <c r="H334" s="5"/>
    </row>
    <row r="335" spans="6:8" x14ac:dyDescent="0.3">
      <c r="F335" s="6"/>
      <c r="G335" s="5"/>
      <c r="H335" s="5"/>
    </row>
    <row r="336" spans="6:8" x14ac:dyDescent="0.3">
      <c r="F336" s="6"/>
      <c r="G336" s="5"/>
      <c r="H336" s="5"/>
    </row>
    <row r="337" spans="6:8" x14ac:dyDescent="0.3">
      <c r="F337" s="6"/>
      <c r="G337" s="5"/>
      <c r="H337" s="5"/>
    </row>
    <row r="338" spans="6:8" x14ac:dyDescent="0.3">
      <c r="F338" s="6"/>
      <c r="G338" s="5"/>
      <c r="H338" s="5"/>
    </row>
    <row r="339" spans="6:8" x14ac:dyDescent="0.3">
      <c r="F339" s="6"/>
      <c r="G339" s="5"/>
      <c r="H339" s="5"/>
    </row>
    <row r="340" spans="6:8" x14ac:dyDescent="0.3">
      <c r="F340" s="6"/>
      <c r="G340" s="5"/>
      <c r="H340" s="5"/>
    </row>
    <row r="341" spans="6:8" x14ac:dyDescent="0.3">
      <c r="F341" s="6"/>
      <c r="G341" s="5"/>
      <c r="H341" s="5"/>
    </row>
    <row r="342" spans="6:8" x14ac:dyDescent="0.3">
      <c r="F342" s="6"/>
      <c r="G342" s="5"/>
      <c r="H342" s="5"/>
    </row>
    <row r="343" spans="6:8" x14ac:dyDescent="0.3">
      <c r="F343" s="6"/>
      <c r="G343" s="5"/>
      <c r="H343" s="5"/>
    </row>
    <row r="344" spans="6:8" x14ac:dyDescent="0.3">
      <c r="F344" s="6"/>
      <c r="G344" s="5"/>
      <c r="H344" s="5"/>
    </row>
    <row r="345" spans="6:8" x14ac:dyDescent="0.3">
      <c r="F345" s="6"/>
      <c r="G345" s="5"/>
      <c r="H345" s="5"/>
    </row>
    <row r="346" spans="6:8" x14ac:dyDescent="0.3">
      <c r="F346" s="6"/>
      <c r="G346" s="5"/>
      <c r="H346" s="5"/>
    </row>
    <row r="347" spans="6:8" x14ac:dyDescent="0.3">
      <c r="F347" s="6"/>
      <c r="G347" s="5"/>
      <c r="H347" s="5"/>
    </row>
    <row r="348" spans="6:8" x14ac:dyDescent="0.3">
      <c r="F348" s="6"/>
      <c r="G348" s="5"/>
      <c r="H348" s="5"/>
    </row>
    <row r="349" spans="6:8" x14ac:dyDescent="0.3">
      <c r="F349" s="6"/>
      <c r="G349" s="5"/>
      <c r="H349" s="5"/>
    </row>
    <row r="350" spans="6:8" x14ac:dyDescent="0.3">
      <c r="F350" s="6"/>
      <c r="G350" s="5"/>
      <c r="H350" s="5"/>
    </row>
    <row r="351" spans="6:8" x14ac:dyDescent="0.3">
      <c r="F351" s="6"/>
      <c r="G351" s="5"/>
      <c r="H351" s="5"/>
    </row>
    <row r="352" spans="6:8" x14ac:dyDescent="0.3">
      <c r="F352" s="6"/>
      <c r="G352" s="5"/>
      <c r="H352" s="5"/>
    </row>
    <row r="353" spans="6:8" x14ac:dyDescent="0.3">
      <c r="F353" s="6"/>
      <c r="G353" s="5"/>
      <c r="H353" s="5"/>
    </row>
    <row r="354" spans="6:8" x14ac:dyDescent="0.3">
      <c r="F354" s="6"/>
      <c r="G354" s="5"/>
      <c r="H354" s="5"/>
    </row>
    <row r="355" spans="6:8" x14ac:dyDescent="0.3">
      <c r="F355" s="6"/>
      <c r="G355" s="5"/>
      <c r="H355" s="5"/>
    </row>
    <row r="356" spans="6:8" x14ac:dyDescent="0.3">
      <c r="F356" s="6"/>
      <c r="G356" s="5"/>
      <c r="H356" s="5"/>
    </row>
    <row r="357" spans="6:8" x14ac:dyDescent="0.3">
      <c r="F357" s="6"/>
      <c r="G357" s="5"/>
      <c r="H357" s="5"/>
    </row>
    <row r="358" spans="6:8" x14ac:dyDescent="0.3">
      <c r="F358" s="6"/>
      <c r="G358" s="5"/>
      <c r="H358" s="5"/>
    </row>
    <row r="359" spans="6:8" x14ac:dyDescent="0.3">
      <c r="F359" s="6"/>
      <c r="G359" s="5"/>
      <c r="H359" s="5"/>
    </row>
    <row r="360" spans="6:8" x14ac:dyDescent="0.3">
      <c r="F360" s="6"/>
      <c r="G360" s="5"/>
      <c r="H360" s="5"/>
    </row>
    <row r="361" spans="6:8" x14ac:dyDescent="0.3">
      <c r="F361" s="6"/>
      <c r="G361" s="5"/>
      <c r="H361" s="5"/>
    </row>
    <row r="362" spans="6:8" x14ac:dyDescent="0.3">
      <c r="F362" s="6"/>
      <c r="G362" s="5"/>
      <c r="H362" s="5"/>
    </row>
    <row r="363" spans="6:8" x14ac:dyDescent="0.3">
      <c r="F363" s="6"/>
      <c r="G363" s="5"/>
      <c r="H363" s="5"/>
    </row>
    <row r="364" spans="6:8" x14ac:dyDescent="0.3">
      <c r="F364" s="6"/>
      <c r="G364" s="5"/>
      <c r="H364" s="5"/>
    </row>
    <row r="365" spans="6:8" x14ac:dyDescent="0.3">
      <c r="F365" s="6"/>
      <c r="G365" s="5"/>
      <c r="H365" s="5"/>
    </row>
    <row r="366" spans="6:8" x14ac:dyDescent="0.3">
      <c r="F366" s="6"/>
      <c r="G366" s="5"/>
      <c r="H366" s="5"/>
    </row>
    <row r="367" spans="6:8" x14ac:dyDescent="0.3">
      <c r="F367" s="6"/>
      <c r="G367" s="5"/>
      <c r="H367" s="5"/>
    </row>
    <row r="368" spans="6:8" x14ac:dyDescent="0.3">
      <c r="F368" s="6"/>
      <c r="G368" s="5"/>
      <c r="H368" s="5"/>
    </row>
    <row r="369" spans="6:8" x14ac:dyDescent="0.3">
      <c r="F369" s="6"/>
      <c r="G369" s="5"/>
      <c r="H369" s="5"/>
    </row>
    <row r="370" spans="6:8" x14ac:dyDescent="0.3">
      <c r="F370" s="6"/>
      <c r="G370" s="5"/>
      <c r="H370" s="5"/>
    </row>
    <row r="371" spans="6:8" x14ac:dyDescent="0.3">
      <c r="F371" s="6"/>
      <c r="G371" s="5"/>
      <c r="H371" s="5"/>
    </row>
    <row r="372" spans="6:8" x14ac:dyDescent="0.3">
      <c r="F372" s="6"/>
      <c r="G372" s="5"/>
      <c r="H372" s="5"/>
    </row>
    <row r="373" spans="6:8" x14ac:dyDescent="0.3">
      <c r="F373" s="6"/>
      <c r="G373" s="5"/>
      <c r="H373" s="5"/>
    </row>
    <row r="374" spans="6:8" x14ac:dyDescent="0.3">
      <c r="F374" s="6"/>
      <c r="G374" s="5"/>
      <c r="H374" s="5"/>
    </row>
    <row r="375" spans="6:8" x14ac:dyDescent="0.3">
      <c r="F375" s="6"/>
      <c r="G375" s="5"/>
      <c r="H375" s="5"/>
    </row>
    <row r="376" spans="6:8" x14ac:dyDescent="0.3">
      <c r="F376" s="6"/>
      <c r="G376" s="5"/>
      <c r="H376" s="5"/>
    </row>
    <row r="377" spans="6:8" x14ac:dyDescent="0.3">
      <c r="F377" s="6"/>
      <c r="G377" s="5"/>
      <c r="H377" s="5"/>
    </row>
    <row r="378" spans="6:8" x14ac:dyDescent="0.3">
      <c r="F378" s="6"/>
      <c r="G378" s="5"/>
      <c r="H378" s="5"/>
    </row>
    <row r="379" spans="6:8" x14ac:dyDescent="0.3">
      <c r="F379" s="6"/>
      <c r="G379" s="5"/>
      <c r="H379" s="5"/>
    </row>
    <row r="380" spans="6:8" x14ac:dyDescent="0.3">
      <c r="F380" s="6"/>
      <c r="G380" s="5"/>
      <c r="H380" s="5"/>
    </row>
    <row r="381" spans="6:8" x14ac:dyDescent="0.3">
      <c r="F381" s="6"/>
      <c r="G381" s="5"/>
      <c r="H381" s="5"/>
    </row>
    <row r="382" spans="6:8" x14ac:dyDescent="0.3">
      <c r="F382" s="6"/>
      <c r="G382" s="5"/>
      <c r="H382" s="5"/>
    </row>
    <row r="383" spans="6:8" x14ac:dyDescent="0.3">
      <c r="F383" s="6"/>
      <c r="G383" s="5"/>
      <c r="H383" s="5"/>
    </row>
    <row r="384" spans="6:8" x14ac:dyDescent="0.3">
      <c r="F384" s="6"/>
      <c r="G384" s="5"/>
      <c r="H384" s="5"/>
    </row>
    <row r="385" spans="6:8" x14ac:dyDescent="0.3">
      <c r="F385" s="6"/>
      <c r="G385" s="5"/>
      <c r="H385" s="5"/>
    </row>
    <row r="386" spans="6:8" x14ac:dyDescent="0.3">
      <c r="F386" s="6"/>
      <c r="G386" s="5"/>
      <c r="H386" s="5"/>
    </row>
    <row r="387" spans="6:8" x14ac:dyDescent="0.3">
      <c r="F387" s="6"/>
      <c r="G387" s="5"/>
      <c r="H387" s="5"/>
    </row>
    <row r="388" spans="6:8" x14ac:dyDescent="0.3">
      <c r="F388" s="6"/>
      <c r="G388" s="5"/>
      <c r="H388" s="5"/>
    </row>
    <row r="389" spans="6:8" x14ac:dyDescent="0.3">
      <c r="F389" s="6"/>
      <c r="G389" s="5"/>
      <c r="H389" s="5"/>
    </row>
    <row r="390" spans="6:8" x14ac:dyDescent="0.3">
      <c r="F390" s="6"/>
      <c r="G390" s="5"/>
      <c r="H390" s="5"/>
    </row>
    <row r="391" spans="6:8" x14ac:dyDescent="0.3">
      <c r="F391" s="6"/>
      <c r="G391" s="5"/>
      <c r="H391" s="5"/>
    </row>
    <row r="392" spans="6:8" x14ac:dyDescent="0.3">
      <c r="F392" s="6"/>
      <c r="G392" s="5"/>
      <c r="H392" s="5"/>
    </row>
    <row r="393" spans="6:8" x14ac:dyDescent="0.3">
      <c r="F393" s="6"/>
      <c r="G393" s="5"/>
      <c r="H393" s="5"/>
    </row>
    <row r="394" spans="6:8" x14ac:dyDescent="0.3">
      <c r="F394" s="6"/>
      <c r="G394" s="5"/>
      <c r="H394" s="5"/>
    </row>
    <row r="395" spans="6:8" x14ac:dyDescent="0.3">
      <c r="F395" s="6"/>
      <c r="G395" s="5"/>
      <c r="H395" s="5"/>
    </row>
    <row r="396" spans="6:8" x14ac:dyDescent="0.3">
      <c r="F396" s="6"/>
      <c r="G396" s="5"/>
      <c r="H396" s="5"/>
    </row>
    <row r="397" spans="6:8" x14ac:dyDescent="0.3">
      <c r="F397" s="6"/>
      <c r="G397" s="5"/>
      <c r="H397" s="5"/>
    </row>
    <row r="398" spans="6:8" x14ac:dyDescent="0.3">
      <c r="F398" s="6"/>
      <c r="G398" s="5"/>
      <c r="H398" s="5"/>
    </row>
    <row r="399" spans="6:8" x14ac:dyDescent="0.3">
      <c r="F399" s="6"/>
      <c r="G399" s="5"/>
      <c r="H399" s="5"/>
    </row>
    <row r="400" spans="6:8" x14ac:dyDescent="0.3">
      <c r="F400" s="6"/>
      <c r="G400" s="5"/>
      <c r="H400" s="5"/>
    </row>
    <row r="401" spans="6:8" x14ac:dyDescent="0.3">
      <c r="F401" s="6"/>
      <c r="G401" s="5"/>
      <c r="H401" s="5"/>
    </row>
    <row r="402" spans="6:8" x14ac:dyDescent="0.3">
      <c r="F402" s="6"/>
      <c r="G402" s="5"/>
      <c r="H402" s="5"/>
    </row>
    <row r="403" spans="6:8" x14ac:dyDescent="0.3">
      <c r="F403" s="6"/>
      <c r="G403" s="5"/>
      <c r="H403" s="5"/>
    </row>
    <row r="404" spans="6:8" x14ac:dyDescent="0.3">
      <c r="F404" s="6"/>
      <c r="G404" s="5"/>
      <c r="H404" s="5"/>
    </row>
    <row r="405" spans="6:8" x14ac:dyDescent="0.3">
      <c r="F405" s="6"/>
      <c r="G405" s="5"/>
      <c r="H405" s="5"/>
    </row>
    <row r="406" spans="6:8" x14ac:dyDescent="0.3">
      <c r="F406" s="6"/>
      <c r="G406" s="5"/>
      <c r="H406" s="5"/>
    </row>
    <row r="407" spans="6:8" x14ac:dyDescent="0.3">
      <c r="F407" s="6"/>
      <c r="G407" s="5"/>
      <c r="H407" s="5"/>
    </row>
    <row r="408" spans="6:8" x14ac:dyDescent="0.3">
      <c r="F408" s="6"/>
      <c r="G408" s="5"/>
      <c r="H408" s="5"/>
    </row>
    <row r="409" spans="6:8" x14ac:dyDescent="0.3">
      <c r="F409" s="6"/>
      <c r="G409" s="5"/>
      <c r="H409" s="5"/>
    </row>
    <row r="410" spans="6:8" x14ac:dyDescent="0.3">
      <c r="F410" s="6"/>
      <c r="G410" s="5"/>
      <c r="H410" s="5"/>
    </row>
    <row r="411" spans="6:8" x14ac:dyDescent="0.3">
      <c r="F411" s="6"/>
      <c r="G411" s="5"/>
      <c r="H411" s="5"/>
    </row>
    <row r="412" spans="6:8" x14ac:dyDescent="0.3">
      <c r="F412" s="6"/>
      <c r="G412" s="5"/>
      <c r="H412" s="5"/>
    </row>
    <row r="413" spans="6:8" x14ac:dyDescent="0.3">
      <c r="F413" s="6"/>
      <c r="G413" s="5"/>
      <c r="H413" s="5"/>
    </row>
    <row r="414" spans="6:8" x14ac:dyDescent="0.3">
      <c r="F414" s="6"/>
      <c r="G414" s="5"/>
      <c r="H414" s="5"/>
    </row>
    <row r="415" spans="6:8" x14ac:dyDescent="0.3">
      <c r="F415" s="6"/>
      <c r="G415" s="5"/>
      <c r="H415" s="5"/>
    </row>
    <row r="416" spans="6:8" x14ac:dyDescent="0.3">
      <c r="F416" s="6"/>
      <c r="G416" s="5"/>
      <c r="H416" s="5"/>
    </row>
    <row r="417" spans="6:8" x14ac:dyDescent="0.3">
      <c r="F417" s="6"/>
      <c r="G417" s="5"/>
      <c r="H417" s="5"/>
    </row>
    <row r="418" spans="6:8" x14ac:dyDescent="0.3">
      <c r="F418" s="6"/>
      <c r="G418" s="5"/>
      <c r="H418" s="5"/>
    </row>
    <row r="419" spans="6:8" x14ac:dyDescent="0.3">
      <c r="F419" s="6"/>
      <c r="G419" s="5"/>
      <c r="H419" s="5"/>
    </row>
    <row r="420" spans="6:8" x14ac:dyDescent="0.3">
      <c r="F420" s="6"/>
      <c r="G420" s="5"/>
      <c r="H420" s="5"/>
    </row>
    <row r="421" spans="6:8" x14ac:dyDescent="0.3">
      <c r="F421" s="6"/>
      <c r="G421" s="5"/>
      <c r="H421" s="5"/>
    </row>
    <row r="422" spans="6:8" x14ac:dyDescent="0.3">
      <c r="F422" s="6"/>
      <c r="G422" s="5"/>
      <c r="H422" s="5"/>
    </row>
    <row r="423" spans="6:8" x14ac:dyDescent="0.3">
      <c r="F423" s="6"/>
      <c r="G423" s="5"/>
      <c r="H423" s="5"/>
    </row>
    <row r="424" spans="6:8" x14ac:dyDescent="0.3">
      <c r="F424" s="6"/>
      <c r="G424" s="5"/>
      <c r="H424" s="5"/>
    </row>
    <row r="425" spans="6:8" x14ac:dyDescent="0.3">
      <c r="F425" s="6"/>
      <c r="G425" s="5"/>
      <c r="H425" s="5"/>
    </row>
    <row r="426" spans="6:8" x14ac:dyDescent="0.3">
      <c r="F426" s="6"/>
      <c r="G426" s="5"/>
      <c r="H426" s="5"/>
    </row>
    <row r="427" spans="6:8" x14ac:dyDescent="0.3">
      <c r="F427" s="6"/>
      <c r="G427" s="5"/>
      <c r="H427" s="5"/>
    </row>
    <row r="428" spans="6:8" x14ac:dyDescent="0.3">
      <c r="F428" s="6"/>
      <c r="G428" s="5"/>
      <c r="H428" s="5"/>
    </row>
    <row r="429" spans="6:8" x14ac:dyDescent="0.3">
      <c r="F429" s="6"/>
      <c r="G429" s="5"/>
      <c r="H429" s="5"/>
    </row>
    <row r="430" spans="6:8" x14ac:dyDescent="0.3">
      <c r="F430" s="6"/>
      <c r="G430" s="5"/>
      <c r="H430" s="5"/>
    </row>
    <row r="431" spans="6:8" x14ac:dyDescent="0.3">
      <c r="F431" s="6"/>
      <c r="G431" s="5"/>
      <c r="H431" s="5"/>
    </row>
    <row r="432" spans="6:8" x14ac:dyDescent="0.3">
      <c r="F432" s="6"/>
      <c r="G432" s="5"/>
      <c r="H432" s="5"/>
    </row>
    <row r="433" spans="6:8" x14ac:dyDescent="0.3">
      <c r="F433" s="6"/>
      <c r="G433" s="5"/>
      <c r="H433" s="5"/>
    </row>
    <row r="434" spans="6:8" x14ac:dyDescent="0.3">
      <c r="F434" s="6"/>
      <c r="G434" s="5"/>
      <c r="H434" s="5"/>
    </row>
    <row r="435" spans="6:8" x14ac:dyDescent="0.3">
      <c r="F435" s="6"/>
      <c r="G435" s="5"/>
      <c r="H435" s="5"/>
    </row>
    <row r="436" spans="6:8" x14ac:dyDescent="0.3">
      <c r="F436" s="6"/>
      <c r="G436" s="5"/>
      <c r="H436" s="5"/>
    </row>
    <row r="437" spans="6:8" x14ac:dyDescent="0.3">
      <c r="F437" s="6"/>
      <c r="G437" s="5"/>
      <c r="H437" s="5"/>
    </row>
    <row r="438" spans="6:8" x14ac:dyDescent="0.3">
      <c r="F438" s="6"/>
      <c r="G438" s="5"/>
      <c r="H438" s="5"/>
    </row>
    <row r="439" spans="6:8" x14ac:dyDescent="0.3">
      <c r="F439" s="6"/>
      <c r="G439" s="5"/>
      <c r="H439" s="5"/>
    </row>
    <row r="440" spans="6:8" x14ac:dyDescent="0.3">
      <c r="F440" s="6"/>
      <c r="G440" s="5"/>
      <c r="H440" s="5"/>
    </row>
    <row r="441" spans="6:8" x14ac:dyDescent="0.3">
      <c r="F441" s="6"/>
      <c r="G441" s="5"/>
      <c r="H441" s="5"/>
    </row>
    <row r="442" spans="6:8" x14ac:dyDescent="0.3">
      <c r="F442" s="6"/>
      <c r="G442" s="5"/>
      <c r="H442" s="5"/>
    </row>
    <row r="443" spans="6:8" x14ac:dyDescent="0.3">
      <c r="F443" s="6"/>
      <c r="G443" s="5"/>
      <c r="H443" s="5"/>
    </row>
    <row r="444" spans="6:8" x14ac:dyDescent="0.3">
      <c r="F444" s="6"/>
      <c r="G444" s="5"/>
      <c r="H444" s="5"/>
    </row>
    <row r="445" spans="6:8" x14ac:dyDescent="0.3">
      <c r="F445" s="6"/>
      <c r="G445" s="5"/>
      <c r="H445" s="5"/>
    </row>
    <row r="446" spans="6:8" x14ac:dyDescent="0.3">
      <c r="F446" s="6"/>
      <c r="G446" s="5"/>
      <c r="H446" s="5"/>
    </row>
    <row r="447" spans="6:8" x14ac:dyDescent="0.3">
      <c r="F447" s="6"/>
      <c r="G447" s="5"/>
      <c r="H447" s="5"/>
    </row>
    <row r="448" spans="6:8" x14ac:dyDescent="0.3">
      <c r="F448" s="6"/>
      <c r="G448" s="5"/>
      <c r="H448" s="5"/>
    </row>
    <row r="449" spans="6:8" x14ac:dyDescent="0.3">
      <c r="F449" s="6"/>
      <c r="G449" s="5"/>
      <c r="H449" s="5"/>
    </row>
    <row r="450" spans="6:8" x14ac:dyDescent="0.3">
      <c r="F450" s="6"/>
      <c r="G450" s="5"/>
      <c r="H450" s="5"/>
    </row>
    <row r="451" spans="6:8" x14ac:dyDescent="0.3">
      <c r="F451" s="6"/>
      <c r="G451" s="5"/>
      <c r="H451" s="5"/>
    </row>
    <row r="452" spans="6:8" x14ac:dyDescent="0.3">
      <c r="F452" s="6"/>
      <c r="G452" s="5"/>
      <c r="H452" s="5"/>
    </row>
    <row r="453" spans="6:8" x14ac:dyDescent="0.3">
      <c r="F453" s="6"/>
      <c r="G453" s="5"/>
      <c r="H453" s="5"/>
    </row>
    <row r="454" spans="6:8" x14ac:dyDescent="0.3">
      <c r="F454" s="6"/>
      <c r="G454" s="5"/>
      <c r="H454" s="5"/>
    </row>
    <row r="455" spans="6:8" x14ac:dyDescent="0.3">
      <c r="F455" s="6"/>
      <c r="G455" s="5"/>
      <c r="H455" s="5"/>
    </row>
    <row r="456" spans="6:8" x14ac:dyDescent="0.3">
      <c r="F456" s="6"/>
      <c r="G456" s="5"/>
      <c r="H456" s="5"/>
    </row>
    <row r="457" spans="6:8" x14ac:dyDescent="0.3">
      <c r="F457" s="6"/>
      <c r="G457" s="5"/>
      <c r="H457" s="5"/>
    </row>
    <row r="458" spans="6:8" x14ac:dyDescent="0.3">
      <c r="F458" s="6"/>
      <c r="G458" s="5"/>
      <c r="H458" s="5"/>
    </row>
    <row r="459" spans="6:8" x14ac:dyDescent="0.3">
      <c r="F459" s="6"/>
      <c r="G459" s="5"/>
      <c r="H459" s="5"/>
    </row>
    <row r="460" spans="6:8" x14ac:dyDescent="0.3">
      <c r="F460" s="6"/>
      <c r="G460" s="5"/>
      <c r="H460" s="5"/>
    </row>
    <row r="461" spans="6:8" x14ac:dyDescent="0.3">
      <c r="F461" s="6"/>
      <c r="G461" s="5"/>
      <c r="H461" s="5"/>
    </row>
    <row r="462" spans="6:8" x14ac:dyDescent="0.3">
      <c r="F462" s="6"/>
      <c r="G462" s="5"/>
      <c r="H462" s="5"/>
    </row>
    <row r="463" spans="6:8" x14ac:dyDescent="0.3">
      <c r="F463" s="6"/>
      <c r="G463" s="5"/>
      <c r="H463" s="5"/>
    </row>
    <row r="464" spans="6:8" x14ac:dyDescent="0.3">
      <c r="F464" s="6"/>
      <c r="G464" s="5"/>
      <c r="H464" s="5"/>
    </row>
    <row r="465" spans="6:8" x14ac:dyDescent="0.3">
      <c r="F465" s="6"/>
      <c r="G465" s="5"/>
      <c r="H465" s="5"/>
    </row>
    <row r="466" spans="6:8" x14ac:dyDescent="0.3">
      <c r="F466" s="6"/>
      <c r="G466" s="5"/>
      <c r="H466" s="5"/>
    </row>
    <row r="467" spans="6:8" x14ac:dyDescent="0.3">
      <c r="F467" s="6"/>
      <c r="G467" s="5"/>
      <c r="H467" s="5"/>
    </row>
    <row r="468" spans="6:8" x14ac:dyDescent="0.3">
      <c r="F468" s="6"/>
      <c r="G468" s="5"/>
      <c r="H468" s="5"/>
    </row>
    <row r="469" spans="6:8" x14ac:dyDescent="0.3">
      <c r="F469" s="6"/>
      <c r="G469" s="5"/>
      <c r="H469" s="5"/>
    </row>
    <row r="470" spans="6:8" x14ac:dyDescent="0.3">
      <c r="F470" s="6"/>
      <c r="G470" s="5"/>
      <c r="H470" s="5"/>
    </row>
    <row r="471" spans="6:8" x14ac:dyDescent="0.3">
      <c r="F471" s="6"/>
      <c r="G471" s="5"/>
      <c r="H471" s="5"/>
    </row>
    <row r="472" spans="6:8" x14ac:dyDescent="0.3">
      <c r="F472" s="6"/>
      <c r="G472" s="5"/>
      <c r="H472" s="5"/>
    </row>
    <row r="473" spans="6:8" x14ac:dyDescent="0.3">
      <c r="F473" s="6"/>
      <c r="G473" s="5"/>
      <c r="H473" s="5"/>
    </row>
    <row r="474" spans="6:8" x14ac:dyDescent="0.3">
      <c r="F474" s="6"/>
      <c r="G474" s="5"/>
      <c r="H474" s="5"/>
    </row>
    <row r="475" spans="6:8" x14ac:dyDescent="0.3">
      <c r="F475" s="6"/>
      <c r="G475" s="5"/>
      <c r="H475" s="5"/>
    </row>
    <row r="476" spans="6:8" x14ac:dyDescent="0.3">
      <c r="F476" s="6"/>
      <c r="G476" s="5"/>
      <c r="H476" s="5"/>
    </row>
    <row r="477" spans="6:8" x14ac:dyDescent="0.3">
      <c r="F477" s="6"/>
      <c r="G477" s="5"/>
      <c r="H477" s="5"/>
    </row>
    <row r="478" spans="6:8" x14ac:dyDescent="0.3">
      <c r="F478" s="6"/>
      <c r="G478" s="5"/>
      <c r="H478" s="5"/>
    </row>
    <row r="479" spans="6:8" x14ac:dyDescent="0.3">
      <c r="F479" s="6"/>
      <c r="G479" s="5"/>
      <c r="H479" s="5"/>
    </row>
    <row r="480" spans="6:8" x14ac:dyDescent="0.3">
      <c r="F480" s="6"/>
      <c r="G480" s="5"/>
      <c r="H480" s="5"/>
    </row>
    <row r="481" spans="6:8" x14ac:dyDescent="0.3">
      <c r="F481" s="6"/>
      <c r="G481" s="5"/>
      <c r="H481" s="5"/>
    </row>
    <row r="482" spans="6:8" x14ac:dyDescent="0.3">
      <c r="F482" s="6"/>
      <c r="G482" s="5"/>
      <c r="H482" s="5"/>
    </row>
    <row r="483" spans="6:8" x14ac:dyDescent="0.3">
      <c r="F483" s="6"/>
      <c r="G483" s="5"/>
      <c r="H483" s="5"/>
    </row>
    <row r="484" spans="6:8" x14ac:dyDescent="0.3">
      <c r="F484" s="6"/>
      <c r="G484" s="5"/>
      <c r="H484" s="5"/>
    </row>
    <row r="485" spans="6:8" x14ac:dyDescent="0.3">
      <c r="F485" s="6"/>
      <c r="G485" s="5"/>
      <c r="H485" s="5"/>
    </row>
    <row r="486" spans="6:8" x14ac:dyDescent="0.3">
      <c r="F486" s="6"/>
      <c r="G486" s="5"/>
      <c r="H486" s="5"/>
    </row>
    <row r="487" spans="6:8" x14ac:dyDescent="0.3">
      <c r="F487" s="6"/>
      <c r="G487" s="5"/>
      <c r="H487" s="5"/>
    </row>
    <row r="488" spans="6:8" x14ac:dyDescent="0.3">
      <c r="F488" s="6"/>
      <c r="G488" s="5"/>
      <c r="H488" s="5"/>
    </row>
    <row r="489" spans="6:8" x14ac:dyDescent="0.3">
      <c r="F489" s="6"/>
      <c r="G489" s="5"/>
      <c r="H489" s="5"/>
    </row>
    <row r="490" spans="6:8" x14ac:dyDescent="0.3">
      <c r="F490" s="6"/>
      <c r="G490" s="5"/>
      <c r="H490" s="5"/>
    </row>
    <row r="491" spans="6:8" x14ac:dyDescent="0.3">
      <c r="F491" s="6"/>
      <c r="G491" s="5"/>
      <c r="H491" s="5"/>
    </row>
    <row r="492" spans="6:8" x14ac:dyDescent="0.3">
      <c r="F492" s="6"/>
      <c r="G492" s="5"/>
      <c r="H492" s="5"/>
    </row>
    <row r="493" spans="6:8" x14ac:dyDescent="0.3">
      <c r="F493" s="6"/>
      <c r="G493" s="5"/>
      <c r="H493" s="5"/>
    </row>
    <row r="494" spans="6:8" x14ac:dyDescent="0.3">
      <c r="F494" s="6"/>
      <c r="G494" s="5"/>
      <c r="H494" s="5"/>
    </row>
    <row r="495" spans="6:8" x14ac:dyDescent="0.3">
      <c r="F495" s="6"/>
      <c r="G495" s="5"/>
      <c r="H495" s="5"/>
    </row>
    <row r="496" spans="6:8" x14ac:dyDescent="0.3">
      <c r="F496" s="6"/>
      <c r="G496" s="5"/>
      <c r="H496" s="5"/>
    </row>
    <row r="497" spans="6:8" x14ac:dyDescent="0.3">
      <c r="F497" s="6"/>
      <c r="G497" s="5"/>
      <c r="H497" s="5"/>
    </row>
    <row r="498" spans="6:8" x14ac:dyDescent="0.3">
      <c r="F498" s="6"/>
      <c r="G498" s="5"/>
      <c r="H498" s="5"/>
    </row>
    <row r="499" spans="6:8" x14ac:dyDescent="0.3">
      <c r="F499" s="6"/>
      <c r="G499" s="5"/>
      <c r="H499" s="5"/>
    </row>
    <row r="500" spans="6:8" x14ac:dyDescent="0.3">
      <c r="F500" s="6"/>
      <c r="G500" s="5"/>
      <c r="H500" s="5"/>
    </row>
    <row r="501" spans="6:8" x14ac:dyDescent="0.3">
      <c r="F501" s="6"/>
      <c r="G501" s="5"/>
      <c r="H501" s="5"/>
    </row>
    <row r="502" spans="6:8" x14ac:dyDescent="0.3">
      <c r="F502" s="6"/>
      <c r="G502" s="5"/>
      <c r="H502" s="5"/>
    </row>
    <row r="503" spans="6:8" x14ac:dyDescent="0.3">
      <c r="F503" s="6"/>
      <c r="G503" s="5"/>
      <c r="H503" s="5"/>
    </row>
    <row r="504" spans="6:8" x14ac:dyDescent="0.3">
      <c r="F504" s="6"/>
      <c r="G504" s="5"/>
      <c r="H504" s="5"/>
    </row>
    <row r="505" spans="6:8" x14ac:dyDescent="0.3">
      <c r="F505" s="6"/>
      <c r="G505" s="5"/>
      <c r="H505" s="5"/>
    </row>
    <row r="506" spans="6:8" x14ac:dyDescent="0.3">
      <c r="F506" s="6"/>
      <c r="G506" s="5"/>
      <c r="H506" s="5"/>
    </row>
    <row r="507" spans="6:8" x14ac:dyDescent="0.3">
      <c r="F507" s="6"/>
      <c r="G507" s="5"/>
      <c r="H507" s="5"/>
    </row>
    <row r="508" spans="6:8" x14ac:dyDescent="0.3">
      <c r="F508" s="6"/>
      <c r="G508" s="5"/>
      <c r="H508" s="5"/>
    </row>
    <row r="509" spans="6:8" x14ac:dyDescent="0.3">
      <c r="F509" s="6"/>
      <c r="G509" s="5"/>
      <c r="H509" s="5"/>
    </row>
    <row r="510" spans="6:8" x14ac:dyDescent="0.3">
      <c r="F510" s="6"/>
      <c r="G510" s="5"/>
      <c r="H510" s="5"/>
    </row>
    <row r="511" spans="6:8" x14ac:dyDescent="0.3">
      <c r="F511" s="6"/>
      <c r="G511" s="5"/>
      <c r="H511" s="5"/>
    </row>
    <row r="512" spans="6:8" x14ac:dyDescent="0.3">
      <c r="F512" s="6"/>
      <c r="G512" s="5"/>
      <c r="H512" s="5"/>
    </row>
    <row r="513" spans="6:8" x14ac:dyDescent="0.3">
      <c r="F513" s="6"/>
      <c r="G513" s="5"/>
      <c r="H513" s="5"/>
    </row>
    <row r="514" spans="6:8" x14ac:dyDescent="0.3">
      <c r="F514" s="6"/>
      <c r="G514" s="5"/>
      <c r="H514" s="5"/>
    </row>
    <row r="515" spans="6:8" x14ac:dyDescent="0.3">
      <c r="F515" s="6"/>
      <c r="G515" s="5"/>
      <c r="H515" s="5"/>
    </row>
    <row r="516" spans="6:8" x14ac:dyDescent="0.3">
      <c r="F516" s="6"/>
      <c r="G516" s="5"/>
      <c r="H516" s="5"/>
    </row>
    <row r="517" spans="6:8" x14ac:dyDescent="0.3">
      <c r="F517" s="6"/>
      <c r="G517" s="5"/>
      <c r="H517" s="5"/>
    </row>
    <row r="518" spans="6:8" x14ac:dyDescent="0.3">
      <c r="F518" s="6"/>
      <c r="G518" s="5"/>
      <c r="H518" s="5"/>
    </row>
    <row r="519" spans="6:8" x14ac:dyDescent="0.3">
      <c r="F519" s="6"/>
      <c r="G519" s="5"/>
      <c r="H519" s="5"/>
    </row>
    <row r="520" spans="6:8" x14ac:dyDescent="0.3">
      <c r="F520" s="6"/>
      <c r="G520" s="5"/>
      <c r="H520" s="5"/>
    </row>
    <row r="521" spans="6:8" x14ac:dyDescent="0.3">
      <c r="F521" s="6"/>
      <c r="G521" s="5"/>
      <c r="H521" s="5"/>
    </row>
    <row r="522" spans="6:8" x14ac:dyDescent="0.3">
      <c r="F522" s="6"/>
      <c r="G522" s="5"/>
      <c r="H522" s="5"/>
    </row>
    <row r="523" spans="6:8" x14ac:dyDescent="0.3">
      <c r="F523" s="6"/>
      <c r="G523" s="5"/>
      <c r="H523" s="5"/>
    </row>
    <row r="524" spans="6:8" x14ac:dyDescent="0.3">
      <c r="F524" s="6"/>
      <c r="G524" s="5"/>
      <c r="H524" s="5"/>
    </row>
    <row r="525" spans="6:8" x14ac:dyDescent="0.3">
      <c r="F525" s="6"/>
      <c r="G525" s="5"/>
      <c r="H525" s="5"/>
    </row>
    <row r="526" spans="6:8" x14ac:dyDescent="0.3">
      <c r="F526" s="6"/>
      <c r="G526" s="5"/>
      <c r="H526" s="5"/>
    </row>
    <row r="527" spans="6:8" x14ac:dyDescent="0.3">
      <c r="F527" s="6"/>
      <c r="G527" s="5"/>
      <c r="H527" s="5"/>
    </row>
    <row r="528" spans="6:8" x14ac:dyDescent="0.3">
      <c r="F528" s="6"/>
      <c r="G528" s="5"/>
      <c r="H528" s="5"/>
    </row>
    <row r="529" spans="6:8" x14ac:dyDescent="0.3">
      <c r="F529" s="6"/>
      <c r="G529" s="5"/>
      <c r="H529" s="5"/>
    </row>
    <row r="530" spans="6:8" x14ac:dyDescent="0.3">
      <c r="F530" s="6"/>
      <c r="G530" s="5"/>
      <c r="H530" s="5"/>
    </row>
    <row r="531" spans="6:8" x14ac:dyDescent="0.3">
      <c r="F531" s="6"/>
      <c r="G531" s="5"/>
      <c r="H531" s="5"/>
    </row>
    <row r="532" spans="6:8" x14ac:dyDescent="0.3">
      <c r="F532" s="6"/>
      <c r="G532" s="5"/>
      <c r="H532" s="5"/>
    </row>
    <row r="533" spans="6:8" x14ac:dyDescent="0.3">
      <c r="F533" s="6"/>
      <c r="G533" s="5"/>
      <c r="H533" s="5"/>
    </row>
    <row r="534" spans="6:8" x14ac:dyDescent="0.3">
      <c r="F534" s="6"/>
      <c r="G534" s="5"/>
      <c r="H534" s="5"/>
    </row>
    <row r="535" spans="6:8" x14ac:dyDescent="0.3">
      <c r="F535" s="6"/>
      <c r="G535" s="5"/>
      <c r="H535" s="5"/>
    </row>
    <row r="536" spans="6:8" x14ac:dyDescent="0.3">
      <c r="F536" s="6"/>
      <c r="G536" s="5"/>
      <c r="H536" s="5"/>
    </row>
    <row r="537" spans="6:8" x14ac:dyDescent="0.3">
      <c r="F537" s="6"/>
      <c r="G537" s="5"/>
      <c r="H537" s="5"/>
    </row>
    <row r="538" spans="6:8" x14ac:dyDescent="0.3">
      <c r="F538" s="6"/>
      <c r="G538" s="5"/>
      <c r="H538" s="5"/>
    </row>
    <row r="539" spans="6:8" x14ac:dyDescent="0.3">
      <c r="F539" s="6"/>
      <c r="G539" s="5"/>
      <c r="H539" s="5"/>
    </row>
    <row r="540" spans="6:8" x14ac:dyDescent="0.3">
      <c r="F540" s="6"/>
      <c r="G540" s="5"/>
      <c r="H540" s="5"/>
    </row>
    <row r="541" spans="6:8" x14ac:dyDescent="0.3">
      <c r="F541" s="6"/>
      <c r="G541" s="5"/>
      <c r="H541" s="5"/>
    </row>
    <row r="542" spans="6:8" x14ac:dyDescent="0.3">
      <c r="F542" s="6"/>
      <c r="G542" s="5"/>
      <c r="H542" s="5"/>
    </row>
    <row r="543" spans="6:8" x14ac:dyDescent="0.3">
      <c r="F543" s="6"/>
      <c r="G543" s="5"/>
      <c r="H543" s="5"/>
    </row>
    <row r="544" spans="6:8" x14ac:dyDescent="0.3">
      <c r="F544" s="6"/>
      <c r="G544" s="5"/>
      <c r="H544" s="5"/>
    </row>
    <row r="545" spans="6:8" x14ac:dyDescent="0.3">
      <c r="F545" s="6"/>
      <c r="G545" s="5"/>
      <c r="H545" s="5"/>
    </row>
    <row r="546" spans="6:8" x14ac:dyDescent="0.3">
      <c r="F546" s="6"/>
      <c r="G546" s="5"/>
      <c r="H546" s="5"/>
    </row>
    <row r="547" spans="6:8" x14ac:dyDescent="0.3">
      <c r="F547" s="6"/>
      <c r="G547" s="5"/>
      <c r="H547" s="5"/>
    </row>
    <row r="548" spans="6:8" x14ac:dyDescent="0.3">
      <c r="F548" s="6"/>
      <c r="G548" s="5"/>
      <c r="H548" s="5"/>
    </row>
    <row r="549" spans="6:8" x14ac:dyDescent="0.3">
      <c r="F549" s="6"/>
      <c r="G549" s="5"/>
      <c r="H549" s="5"/>
    </row>
    <row r="550" spans="6:8" x14ac:dyDescent="0.3">
      <c r="F550" s="6"/>
      <c r="G550" s="5"/>
      <c r="H550" s="5"/>
    </row>
    <row r="551" spans="6:8" x14ac:dyDescent="0.3">
      <c r="F551" s="6"/>
      <c r="G551" s="5"/>
      <c r="H551" s="5"/>
    </row>
    <row r="552" spans="6:8" x14ac:dyDescent="0.3">
      <c r="F552" s="6"/>
      <c r="G552" s="5"/>
      <c r="H552" s="5"/>
    </row>
    <row r="553" spans="6:8" x14ac:dyDescent="0.3">
      <c r="F553" s="6"/>
      <c r="G553" s="5"/>
      <c r="H553" s="5"/>
    </row>
    <row r="554" spans="6:8" x14ac:dyDescent="0.3">
      <c r="F554" s="6"/>
      <c r="G554" s="5"/>
      <c r="H554" s="5"/>
    </row>
    <row r="555" spans="6:8" x14ac:dyDescent="0.3">
      <c r="F555" s="6"/>
      <c r="G555" s="5"/>
      <c r="H555" s="5"/>
    </row>
    <row r="556" spans="6:8" x14ac:dyDescent="0.3">
      <c r="F556" s="6"/>
      <c r="G556" s="5"/>
      <c r="H556" s="5"/>
    </row>
    <row r="557" spans="6:8" x14ac:dyDescent="0.3">
      <c r="F557" s="6"/>
      <c r="G557" s="5"/>
      <c r="H557" s="5"/>
    </row>
    <row r="558" spans="6:8" x14ac:dyDescent="0.3">
      <c r="F558" s="6"/>
      <c r="G558" s="5"/>
      <c r="H558" s="5"/>
    </row>
    <row r="559" spans="6:8" x14ac:dyDescent="0.3">
      <c r="F559" s="6"/>
      <c r="G559" s="5"/>
      <c r="H559" s="5"/>
    </row>
    <row r="560" spans="6:8" x14ac:dyDescent="0.3">
      <c r="F560" s="6"/>
      <c r="G560" s="5"/>
      <c r="H560" s="5"/>
    </row>
    <row r="561" spans="6:8" x14ac:dyDescent="0.3">
      <c r="F561" s="6"/>
      <c r="G561" s="5"/>
      <c r="H561" s="5"/>
    </row>
    <row r="562" spans="6:8" x14ac:dyDescent="0.3">
      <c r="F562" s="6"/>
      <c r="G562" s="5"/>
      <c r="H562" s="5"/>
    </row>
    <row r="563" spans="6:8" x14ac:dyDescent="0.3">
      <c r="F563" s="6"/>
      <c r="G563" s="5"/>
      <c r="H563" s="5"/>
    </row>
    <row r="564" spans="6:8" x14ac:dyDescent="0.3">
      <c r="F564" s="6"/>
      <c r="G564" s="5"/>
      <c r="H564" s="5"/>
    </row>
    <row r="565" spans="6:8" x14ac:dyDescent="0.3">
      <c r="F565" s="6"/>
      <c r="G565" s="5"/>
      <c r="H565" s="5"/>
    </row>
    <row r="566" spans="6:8" x14ac:dyDescent="0.3">
      <c r="F566" s="6"/>
      <c r="G566" s="5"/>
      <c r="H566" s="5"/>
    </row>
    <row r="567" spans="6:8" x14ac:dyDescent="0.3">
      <c r="F567" s="6"/>
      <c r="G567" s="5"/>
      <c r="H567" s="5"/>
    </row>
    <row r="568" spans="6:8" x14ac:dyDescent="0.3">
      <c r="F568" s="6"/>
      <c r="G568" s="5"/>
      <c r="H568" s="5"/>
    </row>
    <row r="569" spans="6:8" x14ac:dyDescent="0.3">
      <c r="F569" s="6"/>
      <c r="G569" s="5"/>
      <c r="H569" s="5"/>
    </row>
    <row r="570" spans="6:8" x14ac:dyDescent="0.3">
      <c r="F570" s="6"/>
      <c r="G570" s="5"/>
      <c r="H570" s="5"/>
    </row>
    <row r="571" spans="6:8" x14ac:dyDescent="0.3">
      <c r="F571" s="6"/>
      <c r="G571" s="5"/>
      <c r="H571" s="5"/>
    </row>
    <row r="572" spans="6:8" x14ac:dyDescent="0.3">
      <c r="F572" s="6"/>
      <c r="G572" s="5"/>
      <c r="H572" s="5"/>
    </row>
    <row r="573" spans="6:8" x14ac:dyDescent="0.3">
      <c r="F573" s="6"/>
      <c r="G573" s="5"/>
      <c r="H573" s="5"/>
    </row>
    <row r="574" spans="6:8" x14ac:dyDescent="0.3">
      <c r="F574" s="6"/>
      <c r="G574" s="5"/>
      <c r="H574" s="5"/>
    </row>
    <row r="575" spans="6:8" x14ac:dyDescent="0.3">
      <c r="F575" s="6"/>
      <c r="G575" s="5"/>
      <c r="H575" s="5"/>
    </row>
    <row r="576" spans="6:8" x14ac:dyDescent="0.3">
      <c r="F576" s="6"/>
      <c r="G576" s="5"/>
      <c r="H576" s="5"/>
    </row>
    <row r="577" spans="6:8" x14ac:dyDescent="0.3">
      <c r="F577" s="6"/>
      <c r="G577" s="5"/>
      <c r="H577" s="5"/>
    </row>
    <row r="578" spans="6:8" x14ac:dyDescent="0.3">
      <c r="F578" s="6"/>
      <c r="G578" s="5"/>
      <c r="H578" s="5"/>
    </row>
    <row r="579" spans="6:8" x14ac:dyDescent="0.3">
      <c r="F579" s="6"/>
      <c r="G579" s="5"/>
      <c r="H579" s="5"/>
    </row>
    <row r="580" spans="6:8" x14ac:dyDescent="0.3">
      <c r="F580" s="6"/>
      <c r="G580" s="5"/>
      <c r="H580" s="5"/>
    </row>
    <row r="581" spans="6:8" x14ac:dyDescent="0.3">
      <c r="F581" s="6"/>
      <c r="G581" s="5"/>
      <c r="H581" s="5"/>
    </row>
    <row r="582" spans="6:8" x14ac:dyDescent="0.3">
      <c r="F582" s="6"/>
      <c r="G582" s="5"/>
      <c r="H582" s="5"/>
    </row>
    <row r="583" spans="6:8" x14ac:dyDescent="0.3">
      <c r="F583" s="6"/>
      <c r="G583" s="5"/>
      <c r="H583" s="5"/>
    </row>
    <row r="584" spans="6:8" x14ac:dyDescent="0.3">
      <c r="F584" s="6"/>
      <c r="G584" s="5"/>
      <c r="H584" s="5"/>
    </row>
    <row r="585" spans="6:8" x14ac:dyDescent="0.3">
      <c r="F585" s="6"/>
      <c r="G585" s="5"/>
      <c r="H585" s="5"/>
    </row>
    <row r="586" spans="6:8" x14ac:dyDescent="0.3">
      <c r="F586" s="6"/>
      <c r="G586" s="5"/>
      <c r="H586" s="5"/>
    </row>
    <row r="587" spans="6:8" x14ac:dyDescent="0.3">
      <c r="F587" s="6"/>
      <c r="G587" s="5"/>
      <c r="H587" s="5"/>
    </row>
    <row r="588" spans="6:8" x14ac:dyDescent="0.3">
      <c r="F588" s="6"/>
      <c r="G588" s="5"/>
      <c r="H588" s="5"/>
    </row>
    <row r="589" spans="6:8" x14ac:dyDescent="0.3">
      <c r="F589" s="6"/>
      <c r="G589" s="5"/>
      <c r="H589" s="5"/>
    </row>
    <row r="590" spans="6:8" x14ac:dyDescent="0.3">
      <c r="F590" s="6"/>
      <c r="G590" s="5"/>
      <c r="H590" s="5"/>
    </row>
    <row r="591" spans="6:8" x14ac:dyDescent="0.3">
      <c r="F591" s="6"/>
      <c r="G591" s="5"/>
      <c r="H591" s="5"/>
    </row>
    <row r="592" spans="6:8" x14ac:dyDescent="0.3">
      <c r="F592" s="6"/>
      <c r="G592" s="5"/>
      <c r="H592" s="5"/>
    </row>
    <row r="593" spans="6:8" x14ac:dyDescent="0.3">
      <c r="F593" s="6"/>
      <c r="G593" s="5"/>
      <c r="H593" s="5"/>
    </row>
    <row r="594" spans="6:8" x14ac:dyDescent="0.3">
      <c r="F594" s="6"/>
      <c r="G594" s="5"/>
      <c r="H594" s="5"/>
    </row>
    <row r="595" spans="6:8" x14ac:dyDescent="0.3">
      <c r="F595" s="6"/>
      <c r="G595" s="5"/>
      <c r="H595" s="5"/>
    </row>
    <row r="596" spans="6:8" x14ac:dyDescent="0.3">
      <c r="F596" s="6"/>
      <c r="G596" s="5"/>
      <c r="H596" s="5"/>
    </row>
    <row r="597" spans="6:8" x14ac:dyDescent="0.3">
      <c r="F597" s="6"/>
      <c r="G597" s="5"/>
      <c r="H597" s="5"/>
    </row>
    <row r="598" spans="6:8" x14ac:dyDescent="0.3">
      <c r="F598" s="6"/>
      <c r="G598" s="5"/>
      <c r="H598" s="5"/>
    </row>
    <row r="599" spans="6:8" x14ac:dyDescent="0.3">
      <c r="F599" s="6"/>
      <c r="G599" s="5"/>
      <c r="H599" s="5"/>
    </row>
    <row r="600" spans="6:8" x14ac:dyDescent="0.3">
      <c r="F600" s="6"/>
      <c r="G600" s="5"/>
      <c r="H600" s="5"/>
    </row>
    <row r="601" spans="6:8" x14ac:dyDescent="0.3">
      <c r="F601" s="6"/>
      <c r="G601" s="5"/>
      <c r="H601" s="5"/>
    </row>
    <row r="602" spans="6:8" x14ac:dyDescent="0.3">
      <c r="F602" s="6"/>
      <c r="G602" s="5"/>
      <c r="H602" s="5"/>
    </row>
    <row r="603" spans="6:8" x14ac:dyDescent="0.3">
      <c r="F603" s="6"/>
      <c r="G603" s="5"/>
      <c r="H603" s="5"/>
    </row>
    <row r="604" spans="6:8" x14ac:dyDescent="0.3">
      <c r="F604" s="6"/>
      <c r="G604" s="5"/>
      <c r="H604" s="5"/>
    </row>
    <row r="605" spans="6:8" x14ac:dyDescent="0.3">
      <c r="F605" s="6"/>
      <c r="G605" s="5"/>
      <c r="H605" s="5"/>
    </row>
    <row r="606" spans="6:8" x14ac:dyDescent="0.3">
      <c r="F606" s="6"/>
      <c r="G606" s="5"/>
      <c r="H606" s="5"/>
    </row>
    <row r="607" spans="6:8" x14ac:dyDescent="0.3">
      <c r="F607" s="6"/>
      <c r="G607" s="5"/>
      <c r="H607" s="5"/>
    </row>
    <row r="608" spans="6:8" x14ac:dyDescent="0.3">
      <c r="F608" s="6"/>
      <c r="G608" s="5"/>
      <c r="H608" s="5"/>
    </row>
    <row r="609" spans="6:8" x14ac:dyDescent="0.3">
      <c r="F609" s="6"/>
      <c r="G609" s="5"/>
      <c r="H609" s="5"/>
    </row>
    <row r="610" spans="6:8" x14ac:dyDescent="0.3">
      <c r="F610" s="6"/>
      <c r="G610" s="5"/>
      <c r="H610" s="5"/>
    </row>
    <row r="611" spans="6:8" x14ac:dyDescent="0.3">
      <c r="F611" s="6"/>
      <c r="G611" s="5"/>
      <c r="H611" s="5"/>
    </row>
    <row r="612" spans="6:8" x14ac:dyDescent="0.3">
      <c r="F612" s="6"/>
      <c r="G612" s="5"/>
      <c r="H612" s="5"/>
    </row>
    <row r="613" spans="6:8" x14ac:dyDescent="0.3">
      <c r="F613" s="6"/>
      <c r="G613" s="5"/>
      <c r="H613" s="5"/>
    </row>
    <row r="614" spans="6:8" x14ac:dyDescent="0.3">
      <c r="F614" s="6"/>
      <c r="G614" s="5"/>
      <c r="H614" s="5"/>
    </row>
    <row r="615" spans="6:8" x14ac:dyDescent="0.3">
      <c r="F615" s="6"/>
      <c r="G615" s="5"/>
      <c r="H615" s="5"/>
    </row>
    <row r="616" spans="6:8" x14ac:dyDescent="0.3">
      <c r="F616" s="6"/>
      <c r="G616" s="5"/>
      <c r="H616" s="5"/>
    </row>
    <row r="617" spans="6:8" x14ac:dyDescent="0.3">
      <c r="F617" s="6"/>
      <c r="G617" s="5"/>
      <c r="H617" s="5"/>
    </row>
    <row r="618" spans="6:8" x14ac:dyDescent="0.3">
      <c r="F618" s="6"/>
      <c r="G618" s="5"/>
      <c r="H618" s="5"/>
    </row>
    <row r="619" spans="6:8" x14ac:dyDescent="0.3">
      <c r="F619" s="6"/>
      <c r="G619" s="5"/>
      <c r="H619" s="5"/>
    </row>
    <row r="620" spans="6:8" x14ac:dyDescent="0.3">
      <c r="F620" s="6"/>
      <c r="G620" s="5"/>
      <c r="H620" s="5"/>
    </row>
    <row r="621" spans="6:8" x14ac:dyDescent="0.3">
      <c r="F621" s="6"/>
      <c r="G621" s="5"/>
      <c r="H621" s="5"/>
    </row>
    <row r="622" spans="6:8" x14ac:dyDescent="0.3">
      <c r="F622" s="6"/>
      <c r="G622" s="5"/>
      <c r="H622" s="5"/>
    </row>
    <row r="623" spans="6:8" x14ac:dyDescent="0.3">
      <c r="F623" s="6"/>
      <c r="G623" s="5"/>
      <c r="H623" s="5"/>
    </row>
    <row r="624" spans="6:8" x14ac:dyDescent="0.3">
      <c r="F624" s="6"/>
      <c r="G624" s="5"/>
      <c r="H624" s="5"/>
    </row>
    <row r="625" spans="6:8" x14ac:dyDescent="0.3">
      <c r="F625" s="6"/>
      <c r="G625" s="5"/>
      <c r="H625" s="5"/>
    </row>
    <row r="626" spans="6:8" x14ac:dyDescent="0.3">
      <c r="F626" s="6"/>
      <c r="G626" s="5"/>
      <c r="H626" s="5"/>
    </row>
    <row r="627" spans="6:8" x14ac:dyDescent="0.3">
      <c r="F627" s="6"/>
      <c r="G627" s="5"/>
      <c r="H627" s="5"/>
    </row>
    <row r="628" spans="6:8" x14ac:dyDescent="0.3">
      <c r="F628" s="6"/>
      <c r="G628" s="5"/>
      <c r="H628" s="5"/>
    </row>
    <row r="629" spans="6:8" x14ac:dyDescent="0.3">
      <c r="F629" s="6"/>
      <c r="G629" s="5"/>
      <c r="H629" s="5"/>
    </row>
    <row r="630" spans="6:8" x14ac:dyDescent="0.3">
      <c r="F630" s="6"/>
      <c r="G630" s="5"/>
      <c r="H630" s="5"/>
    </row>
    <row r="631" spans="6:8" x14ac:dyDescent="0.3">
      <c r="F631" s="6"/>
      <c r="G631" s="5"/>
      <c r="H631" s="5"/>
    </row>
    <row r="632" spans="6:8" x14ac:dyDescent="0.3">
      <c r="F632" s="6"/>
      <c r="G632" s="5"/>
      <c r="H632" s="5"/>
    </row>
    <row r="633" spans="6:8" x14ac:dyDescent="0.3">
      <c r="F633" s="6"/>
      <c r="G633" s="5"/>
      <c r="H633" s="5"/>
    </row>
    <row r="634" spans="6:8" x14ac:dyDescent="0.3">
      <c r="F634" s="6"/>
      <c r="G634" s="5"/>
      <c r="H634" s="5"/>
    </row>
    <row r="635" spans="6:8" x14ac:dyDescent="0.3">
      <c r="F635" s="6"/>
      <c r="G635" s="5"/>
      <c r="H635" s="5"/>
    </row>
    <row r="636" spans="6:8" x14ac:dyDescent="0.3">
      <c r="F636" s="6"/>
      <c r="G636" s="5"/>
      <c r="H636" s="5"/>
    </row>
    <row r="637" spans="6:8" x14ac:dyDescent="0.3">
      <c r="F637" s="6"/>
      <c r="G637" s="5"/>
      <c r="H637" s="5"/>
    </row>
    <row r="638" spans="6:8" x14ac:dyDescent="0.3">
      <c r="F638" s="6"/>
      <c r="G638" s="5"/>
      <c r="H638" s="5"/>
    </row>
    <row r="639" spans="6:8" x14ac:dyDescent="0.3">
      <c r="F639" s="6"/>
      <c r="G639" s="5"/>
      <c r="H639" s="5"/>
    </row>
    <row r="640" spans="6:8" x14ac:dyDescent="0.3">
      <c r="F640" s="6"/>
      <c r="G640" s="5"/>
      <c r="H640" s="5"/>
    </row>
    <row r="641" spans="6:8" x14ac:dyDescent="0.3">
      <c r="F641" s="6"/>
      <c r="G641" s="5"/>
      <c r="H641" s="5"/>
    </row>
    <row r="642" spans="6:8" x14ac:dyDescent="0.3">
      <c r="F642" s="6"/>
      <c r="G642" s="5"/>
      <c r="H642" s="5"/>
    </row>
    <row r="643" spans="6:8" x14ac:dyDescent="0.3">
      <c r="F643" s="6"/>
      <c r="G643" s="5"/>
      <c r="H643" s="5"/>
    </row>
    <row r="644" spans="6:8" x14ac:dyDescent="0.3">
      <c r="F644" s="6"/>
      <c r="G644" s="5"/>
      <c r="H644" s="5"/>
    </row>
    <row r="645" spans="6:8" x14ac:dyDescent="0.3">
      <c r="F645" s="6"/>
      <c r="G645" s="5"/>
      <c r="H645" s="5"/>
    </row>
    <row r="646" spans="6:8" x14ac:dyDescent="0.3">
      <c r="F646" s="6"/>
      <c r="G646" s="5"/>
      <c r="H646" s="5"/>
    </row>
    <row r="647" spans="6:8" x14ac:dyDescent="0.3">
      <c r="F647" s="6"/>
      <c r="G647" s="5"/>
      <c r="H647" s="5"/>
    </row>
    <row r="648" spans="6:8" x14ac:dyDescent="0.3">
      <c r="F648" s="6"/>
      <c r="G648" s="5"/>
      <c r="H648" s="5"/>
    </row>
    <row r="649" spans="6:8" x14ac:dyDescent="0.3">
      <c r="F649" s="6"/>
      <c r="G649" s="5"/>
      <c r="H649" s="5"/>
    </row>
    <row r="650" spans="6:8" x14ac:dyDescent="0.3">
      <c r="F650" s="6"/>
      <c r="G650" s="5"/>
      <c r="H650" s="5"/>
    </row>
    <row r="651" spans="6:8" x14ac:dyDescent="0.3">
      <c r="F651" s="6"/>
      <c r="G651" s="5"/>
      <c r="H651" s="5"/>
    </row>
    <row r="652" spans="6:8" x14ac:dyDescent="0.3">
      <c r="F652" s="6"/>
      <c r="G652" s="5"/>
      <c r="H652" s="5"/>
    </row>
    <row r="653" spans="6:8" x14ac:dyDescent="0.3">
      <c r="F653" s="6"/>
      <c r="G653" s="5"/>
      <c r="H653" s="5"/>
    </row>
    <row r="654" spans="6:8" x14ac:dyDescent="0.3">
      <c r="F654" s="6"/>
      <c r="G654" s="5"/>
      <c r="H654" s="5"/>
    </row>
    <row r="655" spans="6:8" x14ac:dyDescent="0.3">
      <c r="F655" s="6"/>
      <c r="G655" s="5"/>
      <c r="H655" s="5"/>
    </row>
    <row r="656" spans="6:8" x14ac:dyDescent="0.3">
      <c r="F656" s="6"/>
      <c r="G656" s="5"/>
      <c r="H656" s="5"/>
    </row>
    <row r="657" spans="6:8" x14ac:dyDescent="0.3">
      <c r="F657" s="6"/>
      <c r="G657" s="5"/>
      <c r="H657" s="5"/>
    </row>
    <row r="658" spans="6:8" x14ac:dyDescent="0.3">
      <c r="F658" s="6"/>
      <c r="G658" s="5"/>
      <c r="H658" s="5"/>
    </row>
    <row r="659" spans="6:8" x14ac:dyDescent="0.3">
      <c r="F659" s="6"/>
      <c r="G659" s="5"/>
      <c r="H659" s="5"/>
    </row>
    <row r="660" spans="6:8" x14ac:dyDescent="0.3">
      <c r="F660" s="6"/>
      <c r="G660" s="5"/>
      <c r="H660" s="5"/>
    </row>
    <row r="661" spans="6:8" x14ac:dyDescent="0.3">
      <c r="F661" s="6"/>
      <c r="G661" s="5"/>
      <c r="H661" s="5"/>
    </row>
    <row r="662" spans="6:8" x14ac:dyDescent="0.3">
      <c r="F662" s="6"/>
      <c r="G662" s="5"/>
      <c r="H662" s="5"/>
    </row>
    <row r="663" spans="6:8" x14ac:dyDescent="0.3">
      <c r="F663" s="6"/>
      <c r="G663" s="5"/>
      <c r="H663" s="5"/>
    </row>
    <row r="664" spans="6:8" x14ac:dyDescent="0.3">
      <c r="F664" s="6"/>
      <c r="G664" s="5"/>
      <c r="H664" s="5"/>
    </row>
    <row r="665" spans="6:8" x14ac:dyDescent="0.3">
      <c r="F665" s="6"/>
      <c r="G665" s="5"/>
      <c r="H665" s="5"/>
    </row>
    <row r="666" spans="6:8" x14ac:dyDescent="0.3">
      <c r="F666" s="6"/>
      <c r="G666" s="5"/>
      <c r="H666" s="5"/>
    </row>
    <row r="667" spans="6:8" x14ac:dyDescent="0.3">
      <c r="F667" s="6"/>
      <c r="G667" s="5"/>
      <c r="H667" s="5"/>
    </row>
    <row r="668" spans="6:8" x14ac:dyDescent="0.3">
      <c r="F668" s="6"/>
      <c r="G668" s="5"/>
      <c r="H668" s="5"/>
    </row>
    <row r="669" spans="6:8" x14ac:dyDescent="0.3">
      <c r="F669" s="6"/>
      <c r="G669" s="5"/>
      <c r="H669" s="5"/>
    </row>
    <row r="670" spans="6:8" x14ac:dyDescent="0.3">
      <c r="F670" s="6"/>
      <c r="G670" s="5"/>
      <c r="H670" s="5"/>
    </row>
    <row r="671" spans="6:8" x14ac:dyDescent="0.3">
      <c r="F671" s="6"/>
      <c r="G671" s="5"/>
      <c r="H671" s="5"/>
    </row>
    <row r="672" spans="6:8" x14ac:dyDescent="0.3">
      <c r="F672" s="6"/>
      <c r="G672" s="5"/>
      <c r="H672" s="5"/>
    </row>
    <row r="673" spans="6:8" x14ac:dyDescent="0.3">
      <c r="F673" s="6"/>
      <c r="G673" s="5"/>
      <c r="H673" s="5"/>
    </row>
    <row r="674" spans="6:8" x14ac:dyDescent="0.3">
      <c r="F674" s="6"/>
      <c r="G674" s="5"/>
      <c r="H674" s="5"/>
    </row>
    <row r="675" spans="6:8" x14ac:dyDescent="0.3">
      <c r="F675" s="6"/>
      <c r="G675" s="5"/>
      <c r="H675" s="5"/>
    </row>
    <row r="676" spans="6:8" x14ac:dyDescent="0.3">
      <c r="F676" s="6"/>
      <c r="G676" s="5"/>
      <c r="H676" s="5"/>
    </row>
    <row r="677" spans="6:8" x14ac:dyDescent="0.3">
      <c r="F677" s="6"/>
      <c r="G677" s="5"/>
      <c r="H677" s="5"/>
    </row>
    <row r="678" spans="6:8" x14ac:dyDescent="0.3">
      <c r="F678" s="6"/>
      <c r="G678" s="5"/>
      <c r="H678" s="5"/>
    </row>
    <row r="679" spans="6:8" x14ac:dyDescent="0.3">
      <c r="F679" s="6"/>
      <c r="G679" s="5"/>
      <c r="H679" s="5"/>
    </row>
    <row r="680" spans="6:8" x14ac:dyDescent="0.3">
      <c r="F680" s="6"/>
      <c r="G680" s="5"/>
      <c r="H680" s="5"/>
    </row>
    <row r="681" spans="6:8" x14ac:dyDescent="0.3">
      <c r="F681" s="6"/>
      <c r="G681" s="5"/>
      <c r="H681" s="5"/>
    </row>
    <row r="682" spans="6:8" x14ac:dyDescent="0.3">
      <c r="F682" s="6"/>
      <c r="G682" s="5"/>
      <c r="H682" s="5"/>
    </row>
    <row r="683" spans="6:8" x14ac:dyDescent="0.3">
      <c r="F683" s="6"/>
      <c r="G683" s="5"/>
      <c r="H683" s="5"/>
    </row>
    <row r="684" spans="6:8" x14ac:dyDescent="0.3">
      <c r="F684" s="6"/>
      <c r="G684" s="5"/>
      <c r="H684" s="5"/>
    </row>
    <row r="685" spans="6:8" x14ac:dyDescent="0.3">
      <c r="F685" s="6"/>
      <c r="G685" s="5"/>
      <c r="H685" s="5"/>
    </row>
    <row r="686" spans="6:8" x14ac:dyDescent="0.3">
      <c r="F686" s="6"/>
      <c r="G686" s="5"/>
      <c r="H686" s="5"/>
    </row>
    <row r="687" spans="6:8" x14ac:dyDescent="0.3">
      <c r="F687" s="6"/>
      <c r="G687" s="5"/>
      <c r="H687" s="5"/>
    </row>
    <row r="688" spans="6:8" x14ac:dyDescent="0.3">
      <c r="F688" s="6"/>
      <c r="G688" s="5"/>
      <c r="H688" s="5"/>
    </row>
    <row r="689" spans="6:8" x14ac:dyDescent="0.3">
      <c r="F689" s="6"/>
      <c r="G689" s="5"/>
      <c r="H689" s="5"/>
    </row>
    <row r="690" spans="6:8" x14ac:dyDescent="0.3">
      <c r="F690" s="6"/>
      <c r="G690" s="5"/>
      <c r="H690" s="5"/>
    </row>
    <row r="691" spans="6:8" x14ac:dyDescent="0.3">
      <c r="F691" s="6"/>
      <c r="G691" s="5"/>
      <c r="H691" s="5"/>
    </row>
    <row r="692" spans="6:8" x14ac:dyDescent="0.3">
      <c r="F692" s="6"/>
      <c r="G692" s="5"/>
      <c r="H692" s="5"/>
    </row>
    <row r="693" spans="6:8" x14ac:dyDescent="0.3">
      <c r="F693" s="6"/>
      <c r="G693" s="5"/>
      <c r="H693" s="5"/>
    </row>
    <row r="694" spans="6:8" x14ac:dyDescent="0.3">
      <c r="F694" s="6"/>
      <c r="G694" s="5"/>
      <c r="H694" s="5"/>
    </row>
    <row r="695" spans="6:8" x14ac:dyDescent="0.3">
      <c r="F695" s="6"/>
      <c r="G695" s="5"/>
      <c r="H695" s="5"/>
    </row>
    <row r="696" spans="6:8" x14ac:dyDescent="0.3">
      <c r="F696" s="6"/>
      <c r="G696" s="5"/>
      <c r="H696" s="5"/>
    </row>
    <row r="697" spans="6:8" x14ac:dyDescent="0.3">
      <c r="F697" s="6"/>
      <c r="G697" s="5"/>
      <c r="H697" s="5"/>
    </row>
    <row r="698" spans="6:8" x14ac:dyDescent="0.3">
      <c r="F698" s="6"/>
      <c r="G698" s="5"/>
      <c r="H698" s="5"/>
    </row>
    <row r="699" spans="6:8" x14ac:dyDescent="0.3">
      <c r="F699" s="6"/>
      <c r="G699" s="5"/>
      <c r="H699" s="5"/>
    </row>
    <row r="700" spans="6:8" x14ac:dyDescent="0.3">
      <c r="F700" s="6"/>
      <c r="G700" s="5"/>
      <c r="H700" s="5"/>
    </row>
    <row r="701" spans="6:8" x14ac:dyDescent="0.3">
      <c r="F701" s="6"/>
      <c r="G701" s="5"/>
      <c r="H701" s="5"/>
    </row>
    <row r="702" spans="6:8" x14ac:dyDescent="0.3">
      <c r="F702" s="6"/>
      <c r="G702" s="5"/>
      <c r="H702" s="5"/>
    </row>
    <row r="703" spans="6:8" x14ac:dyDescent="0.3">
      <c r="F703" s="6"/>
      <c r="G703" s="5"/>
      <c r="H703" s="5"/>
    </row>
    <row r="704" spans="6:8" x14ac:dyDescent="0.3">
      <c r="F704" s="6"/>
      <c r="G704" s="5"/>
      <c r="H704" s="5"/>
    </row>
    <row r="705" spans="6:8" x14ac:dyDescent="0.3">
      <c r="F705" s="6"/>
      <c r="G705" s="5"/>
      <c r="H705" s="5"/>
    </row>
    <row r="706" spans="6:8" x14ac:dyDescent="0.3">
      <c r="F706" s="6"/>
      <c r="G706" s="5"/>
      <c r="H706" s="5"/>
    </row>
    <row r="707" spans="6:8" x14ac:dyDescent="0.3">
      <c r="F707" s="6"/>
      <c r="G707" s="5"/>
      <c r="H707" s="5"/>
    </row>
    <row r="708" spans="6:8" x14ac:dyDescent="0.3">
      <c r="F708" s="6"/>
      <c r="G708" s="5"/>
      <c r="H708" s="5"/>
    </row>
    <row r="709" spans="6:8" x14ac:dyDescent="0.3">
      <c r="F709" s="6"/>
      <c r="G709" s="5"/>
      <c r="H709" s="5"/>
    </row>
    <row r="710" spans="6:8" x14ac:dyDescent="0.3">
      <c r="F710" s="6"/>
      <c r="G710" s="5"/>
      <c r="H710" s="5"/>
    </row>
    <row r="711" spans="6:8" x14ac:dyDescent="0.3">
      <c r="F711" s="6"/>
      <c r="G711" s="5"/>
      <c r="H711" s="5"/>
    </row>
    <row r="712" spans="6:8" x14ac:dyDescent="0.3">
      <c r="F712" s="6"/>
      <c r="G712" s="5"/>
      <c r="H712" s="5"/>
    </row>
    <row r="713" spans="6:8" x14ac:dyDescent="0.3">
      <c r="F713" s="6"/>
      <c r="G713" s="5"/>
      <c r="H713" s="5"/>
    </row>
    <row r="714" spans="6:8" x14ac:dyDescent="0.3">
      <c r="F714" s="6"/>
      <c r="G714" s="5"/>
      <c r="H714" s="5"/>
    </row>
    <row r="715" spans="6:8" x14ac:dyDescent="0.3">
      <c r="F715" s="6"/>
      <c r="G715" s="5"/>
      <c r="H715" s="5"/>
    </row>
    <row r="716" spans="6:8" x14ac:dyDescent="0.3">
      <c r="F716" s="6"/>
      <c r="G716" s="5"/>
      <c r="H716" s="5"/>
    </row>
    <row r="717" spans="6:8" x14ac:dyDescent="0.3">
      <c r="F717" s="6"/>
      <c r="G717" s="5"/>
      <c r="H717" s="5"/>
    </row>
    <row r="718" spans="6:8" x14ac:dyDescent="0.3">
      <c r="F718" s="6"/>
      <c r="G718" s="5"/>
      <c r="H718" s="5"/>
    </row>
    <row r="719" spans="6:8" x14ac:dyDescent="0.3">
      <c r="F719" s="6"/>
      <c r="G719" s="5"/>
      <c r="H719" s="5"/>
    </row>
    <row r="720" spans="6:8" x14ac:dyDescent="0.3">
      <c r="F720" s="6"/>
      <c r="G720" s="5"/>
      <c r="H720" s="5"/>
    </row>
    <row r="721" spans="6:8" x14ac:dyDescent="0.3">
      <c r="F721" s="6"/>
      <c r="G721" s="5"/>
      <c r="H721" s="5"/>
    </row>
    <row r="722" spans="6:8" x14ac:dyDescent="0.3">
      <c r="F722" s="6"/>
      <c r="G722" s="5"/>
      <c r="H722" s="5"/>
    </row>
    <row r="723" spans="6:8" x14ac:dyDescent="0.3">
      <c r="F723" s="6"/>
      <c r="G723" s="5"/>
      <c r="H723" s="5"/>
    </row>
    <row r="724" spans="6:8" x14ac:dyDescent="0.3">
      <c r="F724" s="6"/>
      <c r="G724" s="5"/>
      <c r="H724" s="5"/>
    </row>
    <row r="725" spans="6:8" x14ac:dyDescent="0.3">
      <c r="F725" s="6"/>
      <c r="G725" s="5"/>
      <c r="H725" s="5"/>
    </row>
    <row r="726" spans="6:8" x14ac:dyDescent="0.3">
      <c r="F726" s="6"/>
      <c r="G726" s="5"/>
      <c r="H726" s="5"/>
    </row>
    <row r="727" spans="6:8" x14ac:dyDescent="0.3">
      <c r="F727" s="6"/>
      <c r="G727" s="5"/>
      <c r="H727" s="5"/>
    </row>
    <row r="728" spans="6:8" x14ac:dyDescent="0.3">
      <c r="F728" s="6"/>
      <c r="G728" s="5"/>
      <c r="H728" s="5"/>
    </row>
    <row r="729" spans="6:8" x14ac:dyDescent="0.3">
      <c r="F729" s="6"/>
      <c r="G729" s="5"/>
      <c r="H729" s="5"/>
    </row>
    <row r="730" spans="6:8" x14ac:dyDescent="0.3">
      <c r="F730" s="6"/>
      <c r="G730" s="5"/>
      <c r="H730" s="5"/>
    </row>
    <row r="731" spans="6:8" x14ac:dyDescent="0.3">
      <c r="F731" s="6"/>
      <c r="G731" s="5"/>
      <c r="H731" s="5"/>
    </row>
    <row r="732" spans="6:8" x14ac:dyDescent="0.3">
      <c r="F732" s="6"/>
      <c r="G732" s="5"/>
      <c r="H732" s="5"/>
    </row>
    <row r="733" spans="6:8" x14ac:dyDescent="0.3">
      <c r="F733" s="6"/>
      <c r="G733" s="5"/>
      <c r="H733" s="5"/>
    </row>
    <row r="734" spans="6:8" x14ac:dyDescent="0.3">
      <c r="F734" s="6"/>
      <c r="G734" s="5"/>
      <c r="H734" s="5"/>
    </row>
    <row r="735" spans="6:8" x14ac:dyDescent="0.3">
      <c r="F735" s="6"/>
      <c r="G735" s="5"/>
      <c r="H735" s="5"/>
    </row>
    <row r="736" spans="6:8" x14ac:dyDescent="0.3">
      <c r="F736" s="6"/>
      <c r="G736" s="5"/>
      <c r="H736" s="5"/>
    </row>
    <row r="737" spans="6:8" x14ac:dyDescent="0.3">
      <c r="F737" s="6"/>
      <c r="G737" s="5"/>
      <c r="H737" s="5"/>
    </row>
    <row r="738" spans="6:8" x14ac:dyDescent="0.3">
      <c r="F738" s="6"/>
      <c r="G738" s="5"/>
      <c r="H738" s="5"/>
    </row>
    <row r="739" spans="6:8" x14ac:dyDescent="0.3">
      <c r="F739" s="6"/>
      <c r="G739" s="5"/>
      <c r="H739" s="5"/>
    </row>
    <row r="740" spans="6:8" x14ac:dyDescent="0.3">
      <c r="F740" s="6"/>
      <c r="G740" s="5"/>
      <c r="H740" s="5"/>
    </row>
    <row r="741" spans="6:8" x14ac:dyDescent="0.3">
      <c r="F741" s="6"/>
      <c r="G741" s="5"/>
      <c r="H741" s="5"/>
    </row>
    <row r="742" spans="6:8" x14ac:dyDescent="0.3">
      <c r="F742" s="6"/>
      <c r="G742" s="5"/>
      <c r="H742" s="5"/>
    </row>
    <row r="743" spans="6:8" x14ac:dyDescent="0.3">
      <c r="F743" s="6"/>
      <c r="G743" s="5"/>
      <c r="H743" s="5"/>
    </row>
    <row r="744" spans="6:8" x14ac:dyDescent="0.3">
      <c r="F744" s="6"/>
      <c r="G744" s="5"/>
      <c r="H744" s="5"/>
    </row>
    <row r="745" spans="6:8" x14ac:dyDescent="0.3">
      <c r="F745" s="6"/>
      <c r="G745" s="5"/>
      <c r="H745" s="5"/>
    </row>
    <row r="746" spans="6:8" x14ac:dyDescent="0.3">
      <c r="F746" s="6"/>
      <c r="G746" s="5"/>
      <c r="H746" s="5"/>
    </row>
    <row r="747" spans="6:8" x14ac:dyDescent="0.3">
      <c r="F747" s="6"/>
      <c r="G747" s="5"/>
      <c r="H747" s="5"/>
    </row>
    <row r="748" spans="6:8" x14ac:dyDescent="0.3">
      <c r="F748" s="6"/>
      <c r="G748" s="5"/>
      <c r="H748" s="5"/>
    </row>
    <row r="749" spans="6:8" x14ac:dyDescent="0.3">
      <c r="F749" s="6"/>
      <c r="G749" s="5"/>
      <c r="H749" s="5"/>
    </row>
    <row r="750" spans="6:8" x14ac:dyDescent="0.3">
      <c r="F750" s="6"/>
      <c r="G750" s="5"/>
      <c r="H750" s="5"/>
    </row>
    <row r="751" spans="6:8" x14ac:dyDescent="0.3">
      <c r="F751" s="6"/>
      <c r="G751" s="5"/>
      <c r="H751" s="5"/>
    </row>
    <row r="752" spans="6:8" x14ac:dyDescent="0.3">
      <c r="F752" s="6"/>
      <c r="G752" s="5"/>
      <c r="H752" s="5"/>
    </row>
    <row r="753" spans="6:8" x14ac:dyDescent="0.3">
      <c r="F753" s="6"/>
      <c r="G753" s="5"/>
      <c r="H753" s="5"/>
    </row>
    <row r="754" spans="6:8" x14ac:dyDescent="0.3">
      <c r="F754" s="6"/>
      <c r="G754" s="5"/>
      <c r="H754" s="5"/>
    </row>
    <row r="755" spans="6:8" x14ac:dyDescent="0.3">
      <c r="F755" s="6"/>
      <c r="G755" s="5"/>
      <c r="H755" s="5"/>
    </row>
    <row r="756" spans="6:8" x14ac:dyDescent="0.3">
      <c r="F756" s="6"/>
      <c r="G756" s="5"/>
      <c r="H756" s="5"/>
    </row>
    <row r="757" spans="6:8" x14ac:dyDescent="0.3">
      <c r="F757" s="6"/>
      <c r="G757" s="5"/>
      <c r="H757" s="5"/>
    </row>
    <row r="758" spans="6:8" x14ac:dyDescent="0.3">
      <c r="F758" s="6"/>
      <c r="G758" s="5"/>
      <c r="H758" s="5"/>
    </row>
    <row r="759" spans="6:8" x14ac:dyDescent="0.3">
      <c r="F759" s="6"/>
      <c r="G759" s="5"/>
      <c r="H759" s="5"/>
    </row>
    <row r="760" spans="6:8" x14ac:dyDescent="0.3">
      <c r="F760" s="6"/>
      <c r="G760" s="5"/>
      <c r="H760" s="5"/>
    </row>
    <row r="761" spans="6:8" x14ac:dyDescent="0.3">
      <c r="F761" s="6"/>
      <c r="G761" s="5"/>
      <c r="H761" s="5"/>
    </row>
    <row r="762" spans="6:8" x14ac:dyDescent="0.3">
      <c r="F762" s="6"/>
      <c r="G762" s="5"/>
      <c r="H762" s="5"/>
    </row>
    <row r="763" spans="6:8" x14ac:dyDescent="0.3">
      <c r="F763" s="6"/>
      <c r="G763" s="5"/>
      <c r="H763" s="5"/>
    </row>
    <row r="764" spans="6:8" x14ac:dyDescent="0.3">
      <c r="F764" s="6"/>
      <c r="G764" s="5"/>
      <c r="H764" s="5"/>
    </row>
    <row r="765" spans="6:8" x14ac:dyDescent="0.3">
      <c r="F765" s="6"/>
      <c r="G765" s="5"/>
      <c r="H765" s="5"/>
    </row>
    <row r="766" spans="6:8" x14ac:dyDescent="0.3">
      <c r="F766" s="6"/>
      <c r="G766" s="5"/>
      <c r="H766" s="5"/>
    </row>
    <row r="767" spans="6:8" x14ac:dyDescent="0.3">
      <c r="F767" s="6"/>
      <c r="G767" s="5"/>
      <c r="H767" s="5"/>
    </row>
    <row r="768" spans="6:8" x14ac:dyDescent="0.3">
      <c r="F768" s="6"/>
      <c r="G768" s="5"/>
      <c r="H768" s="5"/>
    </row>
    <row r="769" spans="6:8" x14ac:dyDescent="0.3">
      <c r="F769" s="6"/>
      <c r="G769" s="5"/>
      <c r="H769" s="5"/>
    </row>
    <row r="770" spans="6:8" x14ac:dyDescent="0.3">
      <c r="F770" s="6"/>
      <c r="G770" s="5"/>
      <c r="H770" s="5"/>
    </row>
    <row r="771" spans="6:8" x14ac:dyDescent="0.3">
      <c r="F771" s="6"/>
      <c r="G771" s="5"/>
      <c r="H771" s="5"/>
    </row>
    <row r="772" spans="6:8" x14ac:dyDescent="0.3">
      <c r="F772" s="6"/>
      <c r="G772" s="5"/>
      <c r="H772" s="5"/>
    </row>
    <row r="773" spans="6:8" x14ac:dyDescent="0.3">
      <c r="F773" s="6"/>
      <c r="G773" s="5"/>
      <c r="H773" s="5"/>
    </row>
    <row r="774" spans="6:8" x14ac:dyDescent="0.3">
      <c r="F774" s="6"/>
      <c r="G774" s="5"/>
      <c r="H774" s="5"/>
    </row>
    <row r="775" spans="6:8" x14ac:dyDescent="0.3">
      <c r="F775" s="6"/>
      <c r="G775" s="5"/>
      <c r="H775" s="5"/>
    </row>
    <row r="776" spans="6:8" x14ac:dyDescent="0.3">
      <c r="F776" s="6"/>
      <c r="G776" s="5"/>
      <c r="H776" s="5"/>
    </row>
    <row r="777" spans="6:8" x14ac:dyDescent="0.3">
      <c r="F777" s="6"/>
      <c r="G777" s="5"/>
      <c r="H777" s="5"/>
    </row>
    <row r="778" spans="6:8" x14ac:dyDescent="0.3">
      <c r="F778" s="6"/>
      <c r="G778" s="5"/>
      <c r="H778" s="5"/>
    </row>
    <row r="779" spans="6:8" x14ac:dyDescent="0.3">
      <c r="F779" s="6"/>
      <c r="G779" s="5"/>
      <c r="H779" s="5"/>
    </row>
    <row r="780" spans="6:8" x14ac:dyDescent="0.3">
      <c r="F780" s="6"/>
      <c r="G780" s="5"/>
      <c r="H780" s="5"/>
    </row>
    <row r="781" spans="6:8" x14ac:dyDescent="0.3">
      <c r="F781" s="6"/>
      <c r="G781" s="5"/>
      <c r="H781" s="5"/>
    </row>
    <row r="782" spans="6:8" x14ac:dyDescent="0.3">
      <c r="F782" s="6"/>
      <c r="G782" s="5"/>
      <c r="H782" s="5"/>
    </row>
    <row r="783" spans="6:8" x14ac:dyDescent="0.3">
      <c r="F783" s="6"/>
      <c r="G783" s="5"/>
      <c r="H783" s="5"/>
    </row>
    <row r="784" spans="6:8" x14ac:dyDescent="0.3">
      <c r="F784" s="6"/>
      <c r="G784" s="5"/>
      <c r="H784" s="5"/>
    </row>
    <row r="785" spans="6:8" x14ac:dyDescent="0.3">
      <c r="F785" s="6"/>
      <c r="G785" s="5"/>
      <c r="H785" s="5"/>
    </row>
    <row r="786" spans="6:8" x14ac:dyDescent="0.3">
      <c r="F786" s="6"/>
      <c r="G786" s="5"/>
      <c r="H786" s="5"/>
    </row>
    <row r="787" spans="6:8" x14ac:dyDescent="0.3">
      <c r="F787" s="6"/>
      <c r="G787" s="5"/>
      <c r="H787" s="5"/>
    </row>
    <row r="788" spans="6:8" x14ac:dyDescent="0.3">
      <c r="F788" s="6"/>
      <c r="G788" s="5"/>
      <c r="H788" s="5"/>
    </row>
    <row r="789" spans="6:8" x14ac:dyDescent="0.3">
      <c r="F789" s="6"/>
      <c r="G789" s="5"/>
      <c r="H789" s="5"/>
    </row>
    <row r="790" spans="6:8" x14ac:dyDescent="0.3">
      <c r="F790" s="6"/>
      <c r="G790" s="5"/>
      <c r="H790" s="5"/>
    </row>
    <row r="791" spans="6:8" x14ac:dyDescent="0.3">
      <c r="F791" s="6"/>
      <c r="G791" s="5"/>
      <c r="H791" s="5"/>
    </row>
    <row r="792" spans="6:8" x14ac:dyDescent="0.3">
      <c r="F792" s="6"/>
      <c r="G792" s="5"/>
      <c r="H792" s="5"/>
    </row>
    <row r="793" spans="6:8" x14ac:dyDescent="0.3">
      <c r="F793" s="6"/>
      <c r="G793" s="5"/>
      <c r="H793" s="5"/>
    </row>
    <row r="794" spans="6:8" x14ac:dyDescent="0.3">
      <c r="F794" s="6"/>
      <c r="G794" s="5"/>
      <c r="H794" s="5"/>
    </row>
    <row r="795" spans="6:8" x14ac:dyDescent="0.3">
      <c r="F795" s="6"/>
      <c r="G795" s="5"/>
      <c r="H795" s="5"/>
    </row>
    <row r="796" spans="6:8" x14ac:dyDescent="0.3">
      <c r="F796" s="6"/>
      <c r="G796" s="5"/>
      <c r="H796" s="5"/>
    </row>
    <row r="797" spans="6:8" x14ac:dyDescent="0.3">
      <c r="F797" s="6"/>
      <c r="G797" s="5"/>
      <c r="H797" s="5"/>
    </row>
    <row r="798" spans="6:8" x14ac:dyDescent="0.3">
      <c r="F798" s="6"/>
      <c r="G798" s="5"/>
      <c r="H798" s="5"/>
    </row>
    <row r="799" spans="6:8" x14ac:dyDescent="0.3">
      <c r="F799" s="6"/>
      <c r="G799" s="5"/>
      <c r="H799" s="5"/>
    </row>
    <row r="800" spans="6:8" x14ac:dyDescent="0.3">
      <c r="F800" s="6"/>
      <c r="G800" s="5"/>
      <c r="H800" s="5"/>
    </row>
    <row r="801" spans="6:8" x14ac:dyDescent="0.3">
      <c r="F801" s="6"/>
      <c r="G801" s="5"/>
      <c r="H801" s="5"/>
    </row>
    <row r="802" spans="6:8" x14ac:dyDescent="0.3">
      <c r="F802" s="6"/>
      <c r="G802" s="5"/>
      <c r="H802" s="5"/>
    </row>
    <row r="803" spans="6:8" x14ac:dyDescent="0.3">
      <c r="F803" s="6"/>
      <c r="G803" s="5"/>
      <c r="H803" s="5"/>
    </row>
    <row r="804" spans="6:8" x14ac:dyDescent="0.3">
      <c r="F804" s="6"/>
      <c r="G804" s="5"/>
      <c r="H804" s="5"/>
    </row>
    <row r="805" spans="6:8" x14ac:dyDescent="0.3">
      <c r="F805" s="6"/>
      <c r="G805" s="5"/>
      <c r="H805" s="5"/>
    </row>
    <row r="806" spans="6:8" x14ac:dyDescent="0.3">
      <c r="F806" s="6"/>
      <c r="G806" s="5"/>
      <c r="H806" s="5"/>
    </row>
    <row r="807" spans="6:8" x14ac:dyDescent="0.3">
      <c r="F807" s="6"/>
      <c r="G807" s="5"/>
      <c r="H807" s="5"/>
    </row>
    <row r="808" spans="6:8" x14ac:dyDescent="0.3">
      <c r="F808" s="6"/>
      <c r="G808" s="5"/>
      <c r="H808" s="5"/>
    </row>
    <row r="809" spans="6:8" x14ac:dyDescent="0.3">
      <c r="F809" s="6"/>
      <c r="G809" s="5"/>
      <c r="H809" s="5"/>
    </row>
    <row r="810" spans="6:8" x14ac:dyDescent="0.3">
      <c r="F810" s="6"/>
      <c r="G810" s="5"/>
      <c r="H810" s="5"/>
    </row>
    <row r="811" spans="6:8" x14ac:dyDescent="0.3">
      <c r="F811" s="6"/>
      <c r="G811" s="5"/>
      <c r="H811" s="5"/>
    </row>
    <row r="812" spans="6:8" x14ac:dyDescent="0.3">
      <c r="F812" s="6"/>
      <c r="G812" s="5"/>
      <c r="H812" s="5"/>
    </row>
    <row r="813" spans="6:8" x14ac:dyDescent="0.3">
      <c r="F813" s="6"/>
      <c r="G813" s="5"/>
      <c r="H813" s="5"/>
    </row>
    <row r="814" spans="6:8" x14ac:dyDescent="0.3">
      <c r="F814" s="6"/>
      <c r="G814" s="5"/>
      <c r="H814" s="5"/>
    </row>
    <row r="815" spans="6:8" x14ac:dyDescent="0.3">
      <c r="F815" s="6"/>
      <c r="G815" s="5"/>
      <c r="H815" s="5"/>
    </row>
    <row r="816" spans="6:8" x14ac:dyDescent="0.3">
      <c r="F816" s="6"/>
      <c r="G816" s="5"/>
      <c r="H816" s="5"/>
    </row>
    <row r="817" spans="6:8" x14ac:dyDescent="0.3">
      <c r="F817" s="6"/>
      <c r="G817" s="5"/>
      <c r="H817" s="5"/>
    </row>
    <row r="818" spans="6:8" x14ac:dyDescent="0.3">
      <c r="F818" s="6"/>
      <c r="G818" s="5"/>
      <c r="H818" s="5"/>
    </row>
    <row r="819" spans="6:8" x14ac:dyDescent="0.3">
      <c r="F819" s="6"/>
      <c r="G819" s="5"/>
      <c r="H819" s="5"/>
    </row>
    <row r="820" spans="6:8" x14ac:dyDescent="0.3">
      <c r="F820" s="6"/>
      <c r="G820" s="5"/>
      <c r="H820" s="5"/>
    </row>
    <row r="821" spans="6:8" x14ac:dyDescent="0.3">
      <c r="F821" s="6"/>
      <c r="G821" s="5"/>
      <c r="H821" s="5"/>
    </row>
    <row r="822" spans="6:8" x14ac:dyDescent="0.3">
      <c r="F822" s="6"/>
      <c r="G822" s="5"/>
      <c r="H822" s="5"/>
    </row>
    <row r="823" spans="6:8" x14ac:dyDescent="0.3">
      <c r="F823" s="6"/>
      <c r="G823" s="5"/>
      <c r="H823" s="5"/>
    </row>
    <row r="824" spans="6:8" x14ac:dyDescent="0.3">
      <c r="F824" s="6"/>
      <c r="G824" s="5"/>
      <c r="H824" s="5"/>
    </row>
    <row r="825" spans="6:8" x14ac:dyDescent="0.3">
      <c r="F825" s="6"/>
      <c r="G825" s="5"/>
      <c r="H825" s="5"/>
    </row>
    <row r="826" spans="6:8" x14ac:dyDescent="0.3">
      <c r="F826" s="6"/>
      <c r="G826" s="5"/>
      <c r="H826" s="5"/>
    </row>
    <row r="827" spans="6:8" x14ac:dyDescent="0.3">
      <c r="F827" s="6"/>
      <c r="G827" s="5"/>
      <c r="H827" s="5"/>
    </row>
    <row r="828" spans="6:8" x14ac:dyDescent="0.3">
      <c r="F828" s="6"/>
      <c r="G828" s="5"/>
      <c r="H828" s="5"/>
    </row>
    <row r="829" spans="6:8" x14ac:dyDescent="0.3">
      <c r="F829" s="6"/>
      <c r="G829" s="5"/>
      <c r="H829" s="5"/>
    </row>
    <row r="830" spans="6:8" x14ac:dyDescent="0.3">
      <c r="F830" s="6"/>
      <c r="G830" s="5"/>
      <c r="H830" s="5"/>
    </row>
    <row r="831" spans="6:8" x14ac:dyDescent="0.3">
      <c r="F831" s="6"/>
      <c r="G831" s="5"/>
      <c r="H831" s="5"/>
    </row>
    <row r="832" spans="6:8" x14ac:dyDescent="0.3">
      <c r="F832" s="6"/>
      <c r="G832" s="5"/>
      <c r="H832" s="5"/>
    </row>
    <row r="833" spans="6:8" x14ac:dyDescent="0.3">
      <c r="F833" s="6"/>
      <c r="G833" s="5"/>
      <c r="H833" s="5"/>
    </row>
    <row r="834" spans="6:8" x14ac:dyDescent="0.3">
      <c r="F834" s="6"/>
      <c r="G834" s="5"/>
      <c r="H834" s="5"/>
    </row>
    <row r="835" spans="6:8" x14ac:dyDescent="0.3">
      <c r="F835" s="6"/>
      <c r="G835" s="5"/>
      <c r="H835" s="5"/>
    </row>
    <row r="836" spans="6:8" x14ac:dyDescent="0.3">
      <c r="F836" s="6"/>
      <c r="G836" s="5"/>
      <c r="H836" s="5"/>
    </row>
    <row r="837" spans="6:8" x14ac:dyDescent="0.3">
      <c r="F837" s="6"/>
      <c r="G837" s="5"/>
      <c r="H837" s="5"/>
    </row>
    <row r="838" spans="6:8" x14ac:dyDescent="0.3">
      <c r="F838" s="6"/>
      <c r="G838" s="5"/>
      <c r="H838" s="5"/>
    </row>
    <row r="839" spans="6:8" x14ac:dyDescent="0.3">
      <c r="F839" s="6"/>
      <c r="G839" s="5"/>
      <c r="H839" s="5"/>
    </row>
    <row r="840" spans="6:8" x14ac:dyDescent="0.3">
      <c r="F840" s="6"/>
      <c r="G840" s="5"/>
      <c r="H840" s="5"/>
    </row>
    <row r="841" spans="6:8" x14ac:dyDescent="0.3">
      <c r="F841" s="6"/>
      <c r="G841" s="5"/>
      <c r="H841" s="5"/>
    </row>
    <row r="842" spans="6:8" x14ac:dyDescent="0.3">
      <c r="F842" s="6"/>
      <c r="G842" s="5"/>
      <c r="H842" s="5"/>
    </row>
    <row r="843" spans="6:8" x14ac:dyDescent="0.3">
      <c r="F843" s="6"/>
      <c r="G843" s="5"/>
      <c r="H843" s="5"/>
    </row>
    <row r="844" spans="6:8" x14ac:dyDescent="0.3">
      <c r="F844" s="6"/>
      <c r="G844" s="5"/>
      <c r="H844" s="5"/>
    </row>
    <row r="845" spans="6:8" x14ac:dyDescent="0.3">
      <c r="F845" s="6"/>
      <c r="G845" s="5"/>
      <c r="H845" s="5"/>
    </row>
    <row r="846" spans="6:8" x14ac:dyDescent="0.3">
      <c r="F846" s="6"/>
      <c r="G846" s="5"/>
      <c r="H846" s="5"/>
    </row>
    <row r="847" spans="6:8" x14ac:dyDescent="0.3">
      <c r="F847" s="6"/>
      <c r="G847" s="5"/>
      <c r="H847" s="5"/>
    </row>
    <row r="848" spans="6:8" x14ac:dyDescent="0.3">
      <c r="F848" s="6"/>
      <c r="G848" s="5"/>
      <c r="H848" s="5"/>
    </row>
    <row r="849" spans="6:8" x14ac:dyDescent="0.3">
      <c r="F849" s="6"/>
      <c r="G849" s="5"/>
      <c r="H849" s="5"/>
    </row>
    <row r="850" spans="6:8" x14ac:dyDescent="0.3">
      <c r="F850" s="6"/>
      <c r="G850" s="5"/>
      <c r="H850" s="5"/>
    </row>
    <row r="851" spans="6:8" x14ac:dyDescent="0.3">
      <c r="F851" s="6"/>
      <c r="G851" s="5"/>
      <c r="H851" s="5"/>
    </row>
    <row r="852" spans="6:8" x14ac:dyDescent="0.3">
      <c r="F852" s="6"/>
      <c r="G852" s="5"/>
      <c r="H852" s="5"/>
    </row>
    <row r="853" spans="6:8" x14ac:dyDescent="0.3">
      <c r="F853" s="6"/>
      <c r="G853" s="5"/>
      <c r="H853" s="5"/>
    </row>
    <row r="854" spans="6:8" x14ac:dyDescent="0.3">
      <c r="F854" s="6"/>
      <c r="G854" s="5"/>
      <c r="H854" s="5"/>
    </row>
    <row r="855" spans="6:8" x14ac:dyDescent="0.3">
      <c r="F855" s="6"/>
      <c r="G855" s="5"/>
      <c r="H855" s="5"/>
    </row>
    <row r="856" spans="6:8" x14ac:dyDescent="0.3">
      <c r="F856" s="6"/>
      <c r="G856" s="5"/>
      <c r="H856" s="5"/>
    </row>
    <row r="857" spans="6:8" x14ac:dyDescent="0.3">
      <c r="F857" s="6"/>
      <c r="G857" s="5"/>
      <c r="H857" s="5"/>
    </row>
    <row r="858" spans="6:8" x14ac:dyDescent="0.3">
      <c r="F858" s="6"/>
      <c r="G858" s="5"/>
      <c r="H858" s="5"/>
    </row>
    <row r="859" spans="6:8" x14ac:dyDescent="0.3">
      <c r="F859" s="6"/>
      <c r="G859" s="5"/>
      <c r="H859" s="5"/>
    </row>
    <row r="860" spans="6:8" x14ac:dyDescent="0.3">
      <c r="F860" s="6"/>
      <c r="G860" s="5"/>
      <c r="H860" s="5"/>
    </row>
    <row r="861" spans="6:8" x14ac:dyDescent="0.3">
      <c r="F861" s="6"/>
      <c r="G861" s="5"/>
      <c r="H861" s="5"/>
    </row>
    <row r="862" spans="6:8" x14ac:dyDescent="0.3">
      <c r="F862" s="6"/>
      <c r="G862" s="5"/>
      <c r="H862" s="5"/>
    </row>
    <row r="863" spans="6:8" x14ac:dyDescent="0.3">
      <c r="F863" s="6"/>
      <c r="G863" s="5"/>
      <c r="H863" s="5"/>
    </row>
    <row r="864" spans="6:8" x14ac:dyDescent="0.3">
      <c r="F864" s="6"/>
      <c r="G864" s="5"/>
      <c r="H864" s="5"/>
    </row>
    <row r="865" spans="6:8" x14ac:dyDescent="0.3">
      <c r="F865" s="6"/>
      <c r="G865" s="5"/>
      <c r="H865" s="5"/>
    </row>
    <row r="866" spans="6:8" x14ac:dyDescent="0.3">
      <c r="F866" s="6"/>
      <c r="G866" s="5"/>
      <c r="H866" s="5"/>
    </row>
    <row r="867" spans="6:8" x14ac:dyDescent="0.3">
      <c r="F867" s="6"/>
      <c r="G867" s="5"/>
      <c r="H867" s="5"/>
    </row>
    <row r="868" spans="6:8" x14ac:dyDescent="0.3">
      <c r="F868" s="6"/>
      <c r="G868" s="5"/>
      <c r="H868" s="5"/>
    </row>
    <row r="869" spans="6:8" x14ac:dyDescent="0.3">
      <c r="F869" s="6"/>
      <c r="G869" s="5"/>
      <c r="H869" s="5"/>
    </row>
    <row r="870" spans="6:8" x14ac:dyDescent="0.3">
      <c r="F870" s="6"/>
      <c r="G870" s="5"/>
      <c r="H870" s="5"/>
    </row>
    <row r="871" spans="6:8" x14ac:dyDescent="0.3">
      <c r="F871" s="6"/>
      <c r="G871" s="5"/>
      <c r="H871" s="5"/>
    </row>
    <row r="872" spans="6:8" x14ac:dyDescent="0.3">
      <c r="F872" s="6"/>
      <c r="G872" s="5"/>
      <c r="H872" s="5"/>
    </row>
    <row r="873" spans="6:8" x14ac:dyDescent="0.3">
      <c r="F873" s="6"/>
      <c r="G873" s="5"/>
      <c r="H873" s="5"/>
    </row>
    <row r="874" spans="6:8" x14ac:dyDescent="0.3">
      <c r="F874" s="6"/>
      <c r="G874" s="5"/>
      <c r="H874" s="5"/>
    </row>
    <row r="875" spans="6:8" x14ac:dyDescent="0.3">
      <c r="F875" s="6"/>
      <c r="G875" s="5"/>
      <c r="H875" s="5"/>
    </row>
    <row r="876" spans="6:8" x14ac:dyDescent="0.3">
      <c r="F876" s="6"/>
      <c r="G876" s="5"/>
      <c r="H876" s="5"/>
    </row>
    <row r="877" spans="6:8" x14ac:dyDescent="0.3">
      <c r="F877" s="6"/>
      <c r="G877" s="5"/>
      <c r="H877" s="5"/>
    </row>
    <row r="878" spans="6:8" x14ac:dyDescent="0.3">
      <c r="F878" s="6"/>
      <c r="G878" s="5"/>
      <c r="H878" s="5"/>
    </row>
    <row r="879" spans="6:8" x14ac:dyDescent="0.3">
      <c r="F879" s="6"/>
      <c r="G879" s="5"/>
      <c r="H879" s="5"/>
    </row>
    <row r="880" spans="6:8" x14ac:dyDescent="0.3">
      <c r="F880" s="6"/>
      <c r="G880" s="5"/>
      <c r="H880" s="5"/>
    </row>
    <row r="881" spans="6:8" x14ac:dyDescent="0.3">
      <c r="F881" s="6"/>
      <c r="G881" s="5"/>
      <c r="H881" s="5"/>
    </row>
    <row r="882" spans="6:8" x14ac:dyDescent="0.3">
      <c r="F882" s="6"/>
      <c r="G882" s="5"/>
      <c r="H882" s="5"/>
    </row>
    <row r="883" spans="6:8" x14ac:dyDescent="0.3">
      <c r="F883" s="6"/>
      <c r="G883" s="5"/>
      <c r="H883" s="5"/>
    </row>
    <row r="884" spans="6:8" x14ac:dyDescent="0.3">
      <c r="F884" s="6"/>
      <c r="G884" s="5"/>
      <c r="H884" s="5"/>
    </row>
    <row r="885" spans="6:8" x14ac:dyDescent="0.3">
      <c r="F885" s="6"/>
      <c r="G885" s="5"/>
      <c r="H885" s="5"/>
    </row>
    <row r="886" spans="6:8" x14ac:dyDescent="0.3">
      <c r="F886" s="6"/>
      <c r="G886" s="5"/>
      <c r="H886" s="5"/>
    </row>
    <row r="887" spans="6:8" x14ac:dyDescent="0.3">
      <c r="F887" s="6"/>
      <c r="G887" s="5"/>
      <c r="H887" s="5"/>
    </row>
    <row r="888" spans="6:8" x14ac:dyDescent="0.3">
      <c r="F888" s="6"/>
      <c r="G888" s="5"/>
      <c r="H888" s="5"/>
    </row>
    <row r="889" spans="6:8" x14ac:dyDescent="0.3">
      <c r="F889" s="6"/>
      <c r="G889" s="5"/>
      <c r="H889" s="5"/>
    </row>
    <row r="890" spans="6:8" x14ac:dyDescent="0.3">
      <c r="F890" s="6"/>
      <c r="G890" s="5"/>
      <c r="H890" s="5"/>
    </row>
    <row r="891" spans="6:8" x14ac:dyDescent="0.3">
      <c r="F891" s="6"/>
      <c r="G891" s="5"/>
      <c r="H891" s="5"/>
    </row>
    <row r="892" spans="6:8" x14ac:dyDescent="0.3">
      <c r="F892" s="6"/>
      <c r="G892" s="5"/>
      <c r="H892" s="5"/>
    </row>
    <row r="893" spans="6:8" x14ac:dyDescent="0.3">
      <c r="F893" s="6"/>
      <c r="G893" s="5"/>
      <c r="H893" s="5"/>
    </row>
    <row r="894" spans="6:8" x14ac:dyDescent="0.3">
      <c r="F894" s="6"/>
      <c r="G894" s="5"/>
      <c r="H894" s="5"/>
    </row>
    <row r="895" spans="6:8" x14ac:dyDescent="0.3">
      <c r="F895" s="6"/>
      <c r="G895" s="5"/>
      <c r="H895" s="5"/>
    </row>
    <row r="896" spans="6:8" x14ac:dyDescent="0.3">
      <c r="F896" s="6"/>
      <c r="G896" s="5"/>
      <c r="H896" s="5"/>
    </row>
    <row r="897" spans="6:8" x14ac:dyDescent="0.3">
      <c r="F897" s="6"/>
      <c r="G897" s="5"/>
      <c r="H897" s="5"/>
    </row>
    <row r="898" spans="6:8" x14ac:dyDescent="0.3">
      <c r="F898" s="6"/>
      <c r="G898" s="5"/>
      <c r="H898" s="5"/>
    </row>
    <row r="899" spans="6:8" x14ac:dyDescent="0.3">
      <c r="F899" s="6"/>
      <c r="G899" s="5"/>
      <c r="H899" s="5"/>
    </row>
    <row r="900" spans="6:8" x14ac:dyDescent="0.3">
      <c r="F900" s="6"/>
      <c r="G900" s="5"/>
      <c r="H900" s="5"/>
    </row>
    <row r="901" spans="6:8" x14ac:dyDescent="0.3">
      <c r="F901" s="6"/>
      <c r="G901" s="5"/>
      <c r="H901" s="5"/>
    </row>
    <row r="902" spans="6:8" x14ac:dyDescent="0.3">
      <c r="F902" s="6"/>
      <c r="G902" s="5"/>
      <c r="H902" s="5"/>
    </row>
    <row r="903" spans="6:8" x14ac:dyDescent="0.3">
      <c r="F903" s="6"/>
      <c r="G903" s="5"/>
      <c r="H903" s="5"/>
    </row>
    <row r="904" spans="6:8" x14ac:dyDescent="0.3">
      <c r="F904" s="6"/>
      <c r="G904" s="5"/>
      <c r="H904" s="5"/>
    </row>
    <row r="905" spans="6:8" x14ac:dyDescent="0.3">
      <c r="F905" s="6"/>
      <c r="G905" s="5"/>
      <c r="H905" s="5"/>
    </row>
    <row r="906" spans="6:8" x14ac:dyDescent="0.3">
      <c r="F906" s="6"/>
      <c r="G906" s="5"/>
      <c r="H906" s="5"/>
    </row>
    <row r="907" spans="6:8" x14ac:dyDescent="0.3">
      <c r="F907" s="6"/>
      <c r="G907" s="5"/>
      <c r="H907" s="5"/>
    </row>
    <row r="908" spans="6:8" x14ac:dyDescent="0.3">
      <c r="F908" s="6"/>
      <c r="G908" s="5"/>
      <c r="H908" s="5"/>
    </row>
    <row r="909" spans="6:8" x14ac:dyDescent="0.3">
      <c r="F909" s="6"/>
      <c r="G909" s="5"/>
      <c r="H909" s="5"/>
    </row>
    <row r="910" spans="6:8" x14ac:dyDescent="0.3">
      <c r="F910" s="6"/>
      <c r="G910" s="5"/>
      <c r="H910" s="5"/>
    </row>
    <row r="911" spans="6:8" x14ac:dyDescent="0.3">
      <c r="F911" s="6"/>
      <c r="G911" s="5"/>
      <c r="H911" s="5"/>
    </row>
    <row r="912" spans="6:8" x14ac:dyDescent="0.3">
      <c r="F912" s="6"/>
      <c r="G912" s="5"/>
      <c r="H912" s="5"/>
    </row>
    <row r="913" spans="6:8" x14ac:dyDescent="0.3">
      <c r="F913" s="6"/>
      <c r="G913" s="5"/>
      <c r="H913" s="5"/>
    </row>
    <row r="914" spans="6:8" x14ac:dyDescent="0.3">
      <c r="F914" s="6"/>
      <c r="G914" s="5"/>
      <c r="H914" s="5"/>
    </row>
    <row r="915" spans="6:8" x14ac:dyDescent="0.3">
      <c r="F915" s="6"/>
      <c r="G915" s="5"/>
      <c r="H915" s="5"/>
    </row>
    <row r="916" spans="6:8" x14ac:dyDescent="0.3">
      <c r="F916" s="6"/>
      <c r="G916" s="5"/>
      <c r="H916" s="5"/>
    </row>
    <row r="917" spans="6:8" x14ac:dyDescent="0.3">
      <c r="F917" s="6"/>
      <c r="G917" s="5"/>
      <c r="H917" s="5"/>
    </row>
    <row r="918" spans="6:8" x14ac:dyDescent="0.3">
      <c r="F918" s="6"/>
      <c r="G918" s="5"/>
      <c r="H918" s="5"/>
    </row>
    <row r="919" spans="6:8" x14ac:dyDescent="0.3">
      <c r="F919" s="6"/>
      <c r="G919" s="5"/>
      <c r="H919" s="5"/>
    </row>
    <row r="920" spans="6:8" x14ac:dyDescent="0.3">
      <c r="F920" s="6"/>
      <c r="G920" s="5"/>
      <c r="H920" s="5"/>
    </row>
    <row r="921" spans="6:8" x14ac:dyDescent="0.3">
      <c r="F921" s="6"/>
      <c r="G921" s="5"/>
      <c r="H921" s="5"/>
    </row>
    <row r="922" spans="6:8" x14ac:dyDescent="0.3">
      <c r="F922" s="6"/>
      <c r="G922" s="5"/>
      <c r="H922" s="5"/>
    </row>
    <row r="923" spans="6:8" x14ac:dyDescent="0.3">
      <c r="F923" s="6"/>
      <c r="G923" s="5"/>
      <c r="H923" s="5"/>
    </row>
    <row r="924" spans="6:8" x14ac:dyDescent="0.3">
      <c r="F924" s="6"/>
      <c r="G924" s="5"/>
      <c r="H924" s="5"/>
    </row>
    <row r="925" spans="6:8" x14ac:dyDescent="0.3">
      <c r="F925" s="6"/>
      <c r="G925" s="5"/>
      <c r="H925" s="5"/>
    </row>
    <row r="926" spans="6:8" x14ac:dyDescent="0.3">
      <c r="F926" s="6"/>
      <c r="G926" s="5"/>
      <c r="H926" s="5"/>
    </row>
    <row r="927" spans="6:8" x14ac:dyDescent="0.3">
      <c r="F927" s="6"/>
      <c r="G927" s="5"/>
      <c r="H927" s="5"/>
    </row>
    <row r="928" spans="6:8" x14ac:dyDescent="0.3">
      <c r="F928" s="6"/>
      <c r="G928" s="5"/>
      <c r="H928" s="5"/>
    </row>
    <row r="929" spans="6:8" x14ac:dyDescent="0.3">
      <c r="F929" s="6"/>
      <c r="G929" s="5"/>
      <c r="H929" s="5"/>
    </row>
    <row r="930" spans="6:8" x14ac:dyDescent="0.3">
      <c r="F930" s="6"/>
      <c r="G930" s="5"/>
      <c r="H930" s="5"/>
    </row>
    <row r="931" spans="6:8" x14ac:dyDescent="0.3">
      <c r="F931" s="6"/>
      <c r="G931" s="5"/>
      <c r="H931" s="5"/>
    </row>
    <row r="932" spans="6:8" x14ac:dyDescent="0.3">
      <c r="F932" s="6"/>
      <c r="G932" s="5"/>
      <c r="H932" s="5"/>
    </row>
    <row r="933" spans="6:8" x14ac:dyDescent="0.3">
      <c r="F933" s="6"/>
      <c r="G933" s="5"/>
      <c r="H933" s="5"/>
    </row>
    <row r="934" spans="6:8" x14ac:dyDescent="0.3">
      <c r="F934" s="6"/>
      <c r="G934" s="5"/>
      <c r="H934" s="5"/>
    </row>
    <row r="935" spans="6:8" x14ac:dyDescent="0.3">
      <c r="F935" s="6"/>
      <c r="G935" s="5"/>
      <c r="H935" s="5"/>
    </row>
    <row r="936" spans="6:8" x14ac:dyDescent="0.3">
      <c r="F936" s="6"/>
      <c r="G936" s="5"/>
      <c r="H936" s="5"/>
    </row>
    <row r="937" spans="6:8" x14ac:dyDescent="0.3">
      <c r="F937" s="6"/>
      <c r="G937" s="5"/>
      <c r="H937" s="5"/>
    </row>
    <row r="938" spans="6:8" x14ac:dyDescent="0.3">
      <c r="F938" s="6"/>
      <c r="G938" s="5"/>
      <c r="H938" s="5"/>
    </row>
    <row r="939" spans="6:8" x14ac:dyDescent="0.3">
      <c r="F939" s="6"/>
      <c r="G939" s="5"/>
      <c r="H939" s="5"/>
    </row>
    <row r="940" spans="6:8" x14ac:dyDescent="0.3">
      <c r="F940" s="6"/>
      <c r="G940" s="5"/>
      <c r="H940" s="5"/>
    </row>
    <row r="941" spans="6:8" x14ac:dyDescent="0.3">
      <c r="F941" s="6"/>
      <c r="G941" s="5"/>
      <c r="H941" s="5"/>
    </row>
    <row r="942" spans="6:8" x14ac:dyDescent="0.3">
      <c r="F942" s="6"/>
      <c r="G942" s="5"/>
      <c r="H942" s="5"/>
    </row>
    <row r="943" spans="6:8" x14ac:dyDescent="0.3">
      <c r="F943" s="6"/>
      <c r="G943" s="5"/>
      <c r="H943" s="5"/>
    </row>
    <row r="944" spans="6:8" x14ac:dyDescent="0.3">
      <c r="F944" s="6"/>
      <c r="G944" s="5"/>
      <c r="H944" s="5"/>
    </row>
    <row r="945" spans="6:8" x14ac:dyDescent="0.3">
      <c r="F945" s="6"/>
      <c r="G945" s="5"/>
      <c r="H945" s="5"/>
    </row>
    <row r="946" spans="6:8" x14ac:dyDescent="0.3">
      <c r="F946" s="6"/>
      <c r="G946" s="5"/>
      <c r="H946" s="5"/>
    </row>
    <row r="947" spans="6:8" x14ac:dyDescent="0.3">
      <c r="F947" s="6"/>
      <c r="G947" s="5"/>
      <c r="H947" s="5"/>
    </row>
    <row r="948" spans="6:8" x14ac:dyDescent="0.3">
      <c r="F948" s="6"/>
      <c r="G948" s="5"/>
      <c r="H948" s="5"/>
    </row>
    <row r="949" spans="6:8" x14ac:dyDescent="0.3">
      <c r="F949" s="6"/>
      <c r="G949" s="5"/>
      <c r="H949" s="5"/>
    </row>
    <row r="950" spans="6:8" x14ac:dyDescent="0.3">
      <c r="F950" s="6"/>
      <c r="G950" s="5"/>
      <c r="H950" s="5"/>
    </row>
    <row r="951" spans="6:8" x14ac:dyDescent="0.3">
      <c r="F951" s="6"/>
      <c r="G951" s="5"/>
      <c r="H951" s="5"/>
    </row>
    <row r="952" spans="6:8" x14ac:dyDescent="0.3">
      <c r="F952" s="6"/>
      <c r="G952" s="5"/>
      <c r="H952" s="5"/>
    </row>
    <row r="953" spans="6:8" x14ac:dyDescent="0.3">
      <c r="F953" s="6"/>
      <c r="G953" s="5"/>
      <c r="H953" s="5"/>
    </row>
    <row r="954" spans="6:8" x14ac:dyDescent="0.3">
      <c r="F954" s="6"/>
      <c r="G954" s="5"/>
      <c r="H954" s="5"/>
    </row>
    <row r="955" spans="6:8" x14ac:dyDescent="0.3">
      <c r="F955" s="6"/>
      <c r="G955" s="5"/>
      <c r="H955" s="5"/>
    </row>
    <row r="956" spans="6:8" x14ac:dyDescent="0.3">
      <c r="F956" s="6"/>
      <c r="G956" s="5"/>
      <c r="H956" s="5"/>
    </row>
    <row r="957" spans="6:8" x14ac:dyDescent="0.3">
      <c r="F957" s="6"/>
      <c r="G957" s="5"/>
      <c r="H957" s="5"/>
    </row>
    <row r="958" spans="6:8" x14ac:dyDescent="0.3">
      <c r="F958" s="6"/>
      <c r="G958" s="5"/>
      <c r="H958" s="5"/>
    </row>
    <row r="959" spans="6:8" x14ac:dyDescent="0.3">
      <c r="F959" s="6"/>
      <c r="G959" s="5"/>
      <c r="H959" s="5"/>
    </row>
    <row r="960" spans="6:8" x14ac:dyDescent="0.3">
      <c r="F960" s="6"/>
      <c r="G960" s="5"/>
      <c r="H960" s="5"/>
    </row>
    <row r="961" spans="6:8" x14ac:dyDescent="0.3">
      <c r="F961" s="6"/>
      <c r="G961" s="5"/>
      <c r="H961" s="5"/>
    </row>
    <row r="962" spans="6:8" x14ac:dyDescent="0.3">
      <c r="F962" s="6"/>
      <c r="G962" s="5"/>
      <c r="H962" s="5"/>
    </row>
    <row r="963" spans="6:8" x14ac:dyDescent="0.3">
      <c r="F963" s="6"/>
      <c r="G963" s="5"/>
      <c r="H963" s="5"/>
    </row>
    <row r="964" spans="6:8" x14ac:dyDescent="0.3">
      <c r="F964" s="6"/>
      <c r="G964" s="5"/>
      <c r="H964" s="5"/>
    </row>
    <row r="965" spans="6:8" x14ac:dyDescent="0.3">
      <c r="F965" s="6"/>
      <c r="G965" s="5"/>
      <c r="H965" s="5"/>
    </row>
    <row r="966" spans="6:8" x14ac:dyDescent="0.3">
      <c r="F966" s="6"/>
      <c r="G966" s="5"/>
      <c r="H966" s="5"/>
    </row>
    <row r="967" spans="6:8" x14ac:dyDescent="0.3">
      <c r="F967" s="6"/>
      <c r="G967" s="5"/>
      <c r="H967" s="5"/>
    </row>
    <row r="968" spans="6:8" x14ac:dyDescent="0.3">
      <c r="F968" s="6"/>
      <c r="G968" s="5"/>
      <c r="H968" s="5"/>
    </row>
    <row r="969" spans="6:8" x14ac:dyDescent="0.3">
      <c r="F969" s="6"/>
      <c r="G969" s="5"/>
      <c r="H969" s="5"/>
    </row>
    <row r="970" spans="6:8" x14ac:dyDescent="0.3">
      <c r="F970" s="6"/>
      <c r="G970" s="5"/>
      <c r="H970" s="5"/>
    </row>
    <row r="971" spans="6:8" x14ac:dyDescent="0.3">
      <c r="F971" s="6"/>
      <c r="G971" s="5"/>
      <c r="H971" s="5"/>
    </row>
    <row r="972" spans="6:8" x14ac:dyDescent="0.3">
      <c r="F972" s="6"/>
      <c r="G972" s="5"/>
      <c r="H972" s="5"/>
    </row>
    <row r="973" spans="6:8" x14ac:dyDescent="0.3">
      <c r="F973" s="6"/>
      <c r="G973" s="5"/>
      <c r="H973" s="5"/>
    </row>
    <row r="974" spans="6:8" x14ac:dyDescent="0.3">
      <c r="F974" s="6"/>
      <c r="G974" s="5"/>
      <c r="H974" s="5"/>
    </row>
    <row r="975" spans="6:8" x14ac:dyDescent="0.3">
      <c r="F975" s="6"/>
      <c r="G975" s="5"/>
      <c r="H975" s="5"/>
    </row>
    <row r="976" spans="6:8" x14ac:dyDescent="0.3">
      <c r="F976" s="6"/>
      <c r="G976" s="5"/>
      <c r="H976" s="5"/>
    </row>
    <row r="977" spans="6:8" x14ac:dyDescent="0.3">
      <c r="F977" s="6"/>
      <c r="G977" s="5"/>
      <c r="H977" s="5"/>
    </row>
    <row r="978" spans="6:8" x14ac:dyDescent="0.3">
      <c r="F978" s="6"/>
      <c r="G978" s="5"/>
      <c r="H978" s="5"/>
    </row>
    <row r="979" spans="6:8" x14ac:dyDescent="0.3">
      <c r="F979" s="6"/>
      <c r="G979" s="5"/>
      <c r="H979" s="5"/>
    </row>
    <row r="980" spans="6:8" x14ac:dyDescent="0.3">
      <c r="F980" s="6"/>
      <c r="G980" s="5"/>
      <c r="H980" s="5"/>
    </row>
    <row r="981" spans="6:8" x14ac:dyDescent="0.3">
      <c r="F981" s="6"/>
      <c r="G981" s="5"/>
      <c r="H981" s="5"/>
    </row>
    <row r="982" spans="6:8" x14ac:dyDescent="0.3">
      <c r="F982" s="6"/>
      <c r="G982" s="5"/>
      <c r="H982" s="5"/>
    </row>
    <row r="983" spans="6:8" x14ac:dyDescent="0.3">
      <c r="F983" s="6"/>
      <c r="G983" s="5"/>
      <c r="H983" s="5"/>
    </row>
    <row r="984" spans="6:8" x14ac:dyDescent="0.3">
      <c r="F984" s="6"/>
      <c r="G984" s="5"/>
      <c r="H984" s="5"/>
    </row>
    <row r="985" spans="6:8" x14ac:dyDescent="0.3">
      <c r="F985" s="6"/>
      <c r="G985" s="5"/>
      <c r="H985" s="5"/>
    </row>
    <row r="986" spans="6:8" x14ac:dyDescent="0.3">
      <c r="F986" s="6"/>
      <c r="G986" s="5"/>
      <c r="H986" s="5"/>
    </row>
    <row r="987" spans="6:8" x14ac:dyDescent="0.3">
      <c r="F987" s="6"/>
      <c r="G987" s="5"/>
      <c r="H987" s="5"/>
    </row>
    <row r="988" spans="6:8" x14ac:dyDescent="0.3">
      <c r="F988" s="6"/>
      <c r="G988" s="5"/>
      <c r="H988" s="5"/>
    </row>
    <row r="989" spans="6:8" x14ac:dyDescent="0.3">
      <c r="F989" s="6"/>
      <c r="G989" s="5"/>
      <c r="H989" s="5"/>
    </row>
    <row r="990" spans="6:8" x14ac:dyDescent="0.3">
      <c r="F990" s="6"/>
      <c r="G990" s="5"/>
      <c r="H990" s="5"/>
    </row>
    <row r="991" spans="6:8" x14ac:dyDescent="0.3">
      <c r="F991" s="6"/>
      <c r="G991" s="5"/>
      <c r="H991" s="5"/>
    </row>
    <row r="992" spans="6:8" x14ac:dyDescent="0.3">
      <c r="F992" s="6"/>
      <c r="G992" s="5"/>
      <c r="H992" s="5"/>
    </row>
    <row r="993" spans="1:13" x14ac:dyDescent="0.3">
      <c r="F993" s="6"/>
      <c r="G993" s="5"/>
      <c r="H993" s="5"/>
    </row>
    <row r="994" spans="1:13" x14ac:dyDescent="0.3">
      <c r="F994" s="6"/>
      <c r="G994" s="5"/>
      <c r="H994" s="5"/>
    </row>
    <row r="995" spans="1:13" x14ac:dyDescent="0.3">
      <c r="F995" s="6"/>
      <c r="G995" s="5"/>
      <c r="H995" s="5"/>
    </row>
    <row r="996" spans="1:13" x14ac:dyDescent="0.3">
      <c r="F996" s="6"/>
      <c r="G996" s="5"/>
      <c r="H996" s="5"/>
    </row>
    <row r="997" spans="1:13" x14ac:dyDescent="0.3">
      <c r="F997" s="6"/>
      <c r="G997" s="5"/>
      <c r="H997" s="5"/>
    </row>
    <row r="998" spans="1:13" x14ac:dyDescent="0.3">
      <c r="F998" s="6"/>
      <c r="G998" s="5"/>
      <c r="H998" s="5"/>
    </row>
    <row r="999" spans="1:13" x14ac:dyDescent="0.3">
      <c r="F999" s="6"/>
      <c r="G999" s="5"/>
      <c r="H999" s="5"/>
    </row>
    <row r="1000" spans="1:13" x14ac:dyDescent="0.3">
      <c r="F1000" s="6"/>
      <c r="G1000" s="5"/>
      <c r="H1000" s="5"/>
    </row>
    <row r="1001" spans="1:13" x14ac:dyDescent="0.3">
      <c r="A1001" s="2" t="s">
        <v>246</v>
      </c>
      <c r="B1001" s="2"/>
      <c r="C1001" s="2"/>
      <c r="D1001" s="2"/>
      <c r="E1001" s="2" t="s">
        <v>326</v>
      </c>
      <c r="F1001" s="4">
        <v>0.05</v>
      </c>
      <c r="G1001" s="3">
        <v>0.15</v>
      </c>
      <c r="H1001" s="3">
        <v>45770</v>
      </c>
      <c r="I1001" s="2">
        <v>46866</v>
      </c>
      <c r="K1001">
        <f>COUNTIF(Link_Project_Req!$A$2:$A$68,$A1001)</f>
        <v>0</v>
      </c>
      <c r="L1001">
        <f>COUNTIF(Link_Project_Gap!$A$2:$A$112,$A1001)</f>
        <v>0</v>
      </c>
      <c r="M1001" s="14">
        <f>IF($F1001="",0,$F1001)</f>
        <v>0.05</v>
      </c>
    </row>
    <row r="1002" spans="1:13" x14ac:dyDescent="0.3">
      <c r="A1002" s="2" t="s">
        <v>248</v>
      </c>
      <c r="B1002" s="2"/>
      <c r="C1002" s="2"/>
      <c r="D1002" s="2"/>
      <c r="E1002" s="2" t="s">
        <v>327</v>
      </c>
      <c r="F1002" s="4">
        <v>1</v>
      </c>
      <c r="G1002" s="3">
        <v>0.99</v>
      </c>
      <c r="H1002" s="3">
        <v>45658</v>
      </c>
      <c r="I1002" s="2">
        <v>45838</v>
      </c>
      <c r="K1002">
        <f>COUNTIF(Link_Project_Req!$A$2:$A$68,$A1002)</f>
        <v>0</v>
      </c>
      <c r="L1002">
        <f>COUNTIF(Link_Project_Gap!$A$2:$A$112,$A1002)</f>
        <v>0</v>
      </c>
      <c r="M1002" s="14">
        <f>IF($F1002="",0,$F1002)</f>
        <v>1</v>
      </c>
    </row>
    <row r="1003" spans="1:13" ht="28.8" customHeight="1" x14ac:dyDescent="0.3">
      <c r="A1003" s="2" t="s">
        <v>250</v>
      </c>
      <c r="B1003" s="2"/>
      <c r="C1003" s="2"/>
      <c r="D1003" s="2"/>
      <c r="E1003" s="2" t="s">
        <v>291</v>
      </c>
      <c r="F1003" s="4">
        <v>0.26</v>
      </c>
      <c r="G1003" s="3">
        <v>0.31</v>
      </c>
      <c r="H1003" s="3">
        <v>45935</v>
      </c>
      <c r="I1003" s="2">
        <v>47761</v>
      </c>
      <c r="K1003">
        <f>COUNTIF(Link_Project_Req!$A$2:$A$68,$A1003)</f>
        <v>0</v>
      </c>
      <c r="L1003">
        <f>COUNTIF(Link_Project_Gap!$A$2:$A$112,$A1003)</f>
        <v>0</v>
      </c>
      <c r="M1003" s="14">
        <f>IF($F1003="",0,$F1003)</f>
        <v>0.26</v>
      </c>
    </row>
  </sheetData>
  <conditionalFormatting sqref="E2:E1000">
    <cfRule type="expression" dxfId="23" priority="1">
      <formula>$E2="مكتمل"</formula>
    </cfRule>
    <cfRule type="expression" dxfId="22" priority="2">
      <formula>$E2="قيد التنفيذ"</formula>
    </cfRule>
    <cfRule type="expression" dxfId="21" priority="3">
      <formula>$E2="متعثر"</formula>
    </cfRule>
    <cfRule type="expression" dxfId="20" priority="4">
      <formula>$E2="مؤجل"</formula>
    </cfRule>
    <cfRule type="expression" dxfId="19" priority="5">
      <formula>$E2="لم يبدأ"</formula>
    </cfRule>
  </conditionalFormatting>
  <conditionalFormatting sqref="F2:F1000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rightToLeft="1" workbookViewId="0">
      <selection activeCell="F8" sqref="F8"/>
    </sheetView>
  </sheetViews>
  <sheetFormatPr defaultRowHeight="14.4" x14ac:dyDescent="0.3"/>
  <cols>
    <col min="1" max="1" width="14" customWidth="1"/>
    <col min="2" max="2" width="55" customWidth="1"/>
    <col min="3" max="4" width="18" customWidth="1"/>
    <col min="5" max="6" width="12" customWidth="1"/>
    <col min="7" max="7" width="22" customWidth="1"/>
    <col min="8" max="8" width="20" customWidth="1"/>
    <col min="9" max="9" width="22" customWidth="1"/>
    <col min="10" max="10" width="28" customWidth="1"/>
    <col min="11" max="12" width="18" customWidth="1"/>
    <col min="13" max="13" width="14" customWidth="1"/>
    <col min="14" max="15" width="16" customWidth="1"/>
  </cols>
  <sheetData>
    <row r="1" spans="1:15" ht="24" customHeight="1" x14ac:dyDescent="0.3">
      <c r="A1" s="7" t="s">
        <v>35</v>
      </c>
      <c r="B1" s="7" t="s">
        <v>36</v>
      </c>
      <c r="C1" s="7" t="s">
        <v>328</v>
      </c>
      <c r="D1" s="7" t="s">
        <v>329</v>
      </c>
      <c r="E1" s="7" t="s">
        <v>330</v>
      </c>
      <c r="F1" s="7" t="s">
        <v>92</v>
      </c>
      <c r="G1" s="7" t="s">
        <v>331</v>
      </c>
      <c r="H1" s="7" t="s">
        <v>95</v>
      </c>
      <c r="I1" s="7" t="s">
        <v>649</v>
      </c>
      <c r="J1" s="7" t="s">
        <v>332</v>
      </c>
      <c r="K1" s="8" t="s">
        <v>333</v>
      </c>
      <c r="L1" s="8" t="s">
        <v>648</v>
      </c>
      <c r="M1" s="7" t="s">
        <v>91</v>
      </c>
      <c r="N1" s="7" t="s">
        <v>276</v>
      </c>
      <c r="O1" s="7" t="s">
        <v>334</v>
      </c>
    </row>
    <row r="2" spans="1:15" ht="43.2" customHeight="1" x14ac:dyDescent="0.3">
      <c r="A2" s="2" t="s">
        <v>335</v>
      </c>
      <c r="B2" s="2" t="s">
        <v>336</v>
      </c>
      <c r="C2" s="2" t="s">
        <v>100</v>
      </c>
      <c r="D2" s="2" t="s">
        <v>119</v>
      </c>
      <c r="E2" s="2" t="s">
        <v>122</v>
      </c>
      <c r="F2" s="2" t="s">
        <v>122</v>
      </c>
      <c r="G2" s="2" t="s">
        <v>337</v>
      </c>
      <c r="H2" s="2" t="s">
        <v>338</v>
      </c>
      <c r="I2" s="2" t="s">
        <v>339</v>
      </c>
      <c r="J2" s="2" t="s">
        <v>340</v>
      </c>
      <c r="K2" s="14">
        <f>IFERROR(AVERAGEIF(Link_Project_Req!$B$2:$B$68,$A2,Link_Project_Req!$C$2:$C$68),0)</f>
        <v>0.375</v>
      </c>
      <c r="L2" t="str">
        <f t="shared" ref="L2:L47" si="0">IF(K2=0,"لم يبدأ",IF(K2&gt;=1,"مغلق","قيد التنفيذ"))</f>
        <v>قيد التنفيذ</v>
      </c>
      <c r="M2" s="2" t="s">
        <v>118</v>
      </c>
      <c r="N2" s="2" t="s">
        <v>119</v>
      </c>
      <c r="O2" s="3">
        <v>46056</v>
      </c>
    </row>
    <row r="3" spans="1:15" ht="43.2" customHeight="1" x14ac:dyDescent="0.3">
      <c r="A3" s="2" t="s">
        <v>295</v>
      </c>
      <c r="B3" s="2" t="s">
        <v>341</v>
      </c>
      <c r="C3" s="2" t="s">
        <v>100</v>
      </c>
      <c r="D3" s="2" t="s">
        <v>119</v>
      </c>
      <c r="E3" s="2" t="s">
        <v>113</v>
      </c>
      <c r="F3" s="2" t="s">
        <v>122</v>
      </c>
      <c r="G3" s="2" t="s">
        <v>342</v>
      </c>
      <c r="H3" s="2" t="s">
        <v>343</v>
      </c>
      <c r="I3" s="2" t="s">
        <v>344</v>
      </c>
      <c r="J3" s="2" t="s">
        <v>345</v>
      </c>
      <c r="K3" s="14">
        <f>IFERROR(AVERAGEIF(Link_Project_Req!$B$2:$B$68,$A3,Link_Project_Req!$C$2:$C$68),0)</f>
        <v>0.44155</v>
      </c>
      <c r="L3" t="str">
        <f t="shared" si="0"/>
        <v>قيد التنفيذ</v>
      </c>
      <c r="M3" s="2" t="s">
        <v>118</v>
      </c>
      <c r="N3" s="2" t="s">
        <v>119</v>
      </c>
      <c r="O3" s="3">
        <v>46056</v>
      </c>
    </row>
    <row r="4" spans="1:15" ht="43.2" customHeight="1" x14ac:dyDescent="0.3">
      <c r="A4" s="2" t="s">
        <v>346</v>
      </c>
      <c r="B4" s="2" t="s">
        <v>347</v>
      </c>
      <c r="C4" s="2" t="s">
        <v>100</v>
      </c>
      <c r="D4" s="2" t="s">
        <v>119</v>
      </c>
      <c r="E4" s="2" t="s">
        <v>112</v>
      </c>
      <c r="F4" s="2" t="s">
        <v>113</v>
      </c>
      <c r="G4" s="2" t="s">
        <v>348</v>
      </c>
      <c r="H4" s="2" t="s">
        <v>343</v>
      </c>
      <c r="I4" s="2" t="s">
        <v>349</v>
      </c>
      <c r="J4" s="2" t="s">
        <v>70</v>
      </c>
      <c r="K4" s="14">
        <f>IFERROR(AVERAGEIF(Link_Project_Req!$B$2:$B$68,$A4,Link_Project_Req!$C$2:$C$68),0)</f>
        <v>0.7</v>
      </c>
      <c r="L4" t="str">
        <f t="shared" si="0"/>
        <v>قيد التنفيذ</v>
      </c>
      <c r="M4" s="2" t="s">
        <v>118</v>
      </c>
      <c r="N4" s="2" t="s">
        <v>284</v>
      </c>
      <c r="O4" s="3">
        <v>46056</v>
      </c>
    </row>
    <row r="5" spans="1:15" ht="57.6" customHeight="1" x14ac:dyDescent="0.3">
      <c r="A5" s="2" t="s">
        <v>350</v>
      </c>
      <c r="B5" s="2" t="s">
        <v>351</v>
      </c>
      <c r="C5" s="2" t="s">
        <v>100</v>
      </c>
      <c r="D5" s="2" t="s">
        <v>119</v>
      </c>
      <c r="E5" s="2" t="s">
        <v>113</v>
      </c>
      <c r="F5" s="2" t="s">
        <v>113</v>
      </c>
      <c r="G5" s="2" t="s">
        <v>352</v>
      </c>
      <c r="H5" s="2" t="s">
        <v>106</v>
      </c>
      <c r="I5" s="2" t="s">
        <v>169</v>
      </c>
      <c r="J5" s="2" t="s">
        <v>353</v>
      </c>
      <c r="K5" s="14">
        <f>IFERROR(AVERAGEIF(Link_Project_Req!$B$2:$B$68,$A5,Link_Project_Req!$C$2:$C$68),0)</f>
        <v>0.52500000000000002</v>
      </c>
      <c r="L5" t="str">
        <f t="shared" si="0"/>
        <v>قيد التنفيذ</v>
      </c>
      <c r="M5" s="2" t="s">
        <v>118</v>
      </c>
      <c r="N5" s="2" t="s">
        <v>284</v>
      </c>
      <c r="O5" s="3">
        <v>46056</v>
      </c>
    </row>
    <row r="6" spans="1:15" ht="43.2" customHeight="1" x14ac:dyDescent="0.3">
      <c r="A6" s="2" t="s">
        <v>354</v>
      </c>
      <c r="B6" s="2" t="s">
        <v>355</v>
      </c>
      <c r="C6" s="2" t="s">
        <v>100</v>
      </c>
      <c r="D6" s="2" t="s">
        <v>129</v>
      </c>
      <c r="E6" s="2" t="s">
        <v>113</v>
      </c>
      <c r="F6" s="2" t="s">
        <v>113</v>
      </c>
      <c r="G6" s="2" t="s">
        <v>356</v>
      </c>
      <c r="H6" s="2" t="s">
        <v>343</v>
      </c>
      <c r="I6" s="2" t="s">
        <v>357</v>
      </c>
      <c r="J6" s="2" t="s">
        <v>358</v>
      </c>
      <c r="K6" s="14">
        <f>IFERROR(AVERAGEIF(Link_Project_Req!$B$2:$B$68,$A6,Link_Project_Req!$C$2:$C$68),0)</f>
        <v>0.2</v>
      </c>
      <c r="L6" t="str">
        <f t="shared" si="0"/>
        <v>قيد التنفيذ</v>
      </c>
      <c r="M6" s="2" t="s">
        <v>109</v>
      </c>
      <c r="N6" s="2" t="s">
        <v>119</v>
      </c>
      <c r="O6" s="3">
        <v>46056</v>
      </c>
    </row>
    <row r="7" spans="1:15" ht="28.8" customHeight="1" x14ac:dyDescent="0.3">
      <c r="A7" s="2" t="s">
        <v>285</v>
      </c>
      <c r="B7" s="2" t="s">
        <v>359</v>
      </c>
      <c r="C7" s="2" t="s">
        <v>120</v>
      </c>
      <c r="D7" s="2" t="s">
        <v>129</v>
      </c>
      <c r="E7" s="2" t="s">
        <v>113</v>
      </c>
      <c r="F7" s="2" t="s">
        <v>122</v>
      </c>
      <c r="G7" s="2" t="s">
        <v>360</v>
      </c>
      <c r="H7" s="2" t="s">
        <v>137</v>
      </c>
      <c r="I7" s="2" t="s">
        <v>260</v>
      </c>
      <c r="J7" s="2" t="s">
        <v>139</v>
      </c>
      <c r="K7" s="14">
        <f>IFERROR(AVERAGEIF(Link_Project_Req!$B$2:$B$68,$A7,Link_Project_Req!$C$2:$C$68),0)</f>
        <v>0.55000000000000004</v>
      </c>
      <c r="L7" t="str">
        <f t="shared" si="0"/>
        <v>قيد التنفيذ</v>
      </c>
      <c r="M7" s="2" t="s">
        <v>118</v>
      </c>
      <c r="N7" s="2" t="s">
        <v>286</v>
      </c>
      <c r="O7" s="3">
        <v>46056</v>
      </c>
    </row>
    <row r="8" spans="1:15" ht="28.8" customHeight="1" x14ac:dyDescent="0.3">
      <c r="A8" s="2" t="s">
        <v>310</v>
      </c>
      <c r="B8" s="2" t="s">
        <v>361</v>
      </c>
      <c r="C8" s="2" t="s">
        <v>111</v>
      </c>
      <c r="D8" s="2" t="s">
        <v>129</v>
      </c>
      <c r="E8" s="2" t="s">
        <v>113</v>
      </c>
      <c r="F8" s="2" t="s">
        <v>122</v>
      </c>
      <c r="G8" s="2" t="s">
        <v>362</v>
      </c>
      <c r="H8" s="2" t="s">
        <v>137</v>
      </c>
      <c r="I8" s="2" t="s">
        <v>309</v>
      </c>
      <c r="J8" s="2" t="s">
        <v>78</v>
      </c>
      <c r="K8" s="14">
        <f>IFERROR(AVERAGEIF(Link_Project_Req!$B$2:$B$68,$A8,Link_Project_Req!$C$2:$C$68),0)</f>
        <v>0.5</v>
      </c>
      <c r="L8" t="str">
        <f t="shared" si="0"/>
        <v>قيد التنفيذ</v>
      </c>
      <c r="M8" s="2" t="s">
        <v>118</v>
      </c>
      <c r="N8" s="2" t="s">
        <v>284</v>
      </c>
      <c r="O8" s="3">
        <v>46056</v>
      </c>
    </row>
    <row r="9" spans="1:15" ht="28.8" customHeight="1" x14ac:dyDescent="0.3">
      <c r="A9" s="2" t="s">
        <v>363</v>
      </c>
      <c r="B9" s="2" t="s">
        <v>364</v>
      </c>
      <c r="C9" s="2" t="s">
        <v>111</v>
      </c>
      <c r="D9" s="2" t="s">
        <v>129</v>
      </c>
      <c r="E9" s="2" t="s">
        <v>113</v>
      </c>
      <c r="F9" s="2" t="s">
        <v>122</v>
      </c>
      <c r="G9" s="2" t="s">
        <v>365</v>
      </c>
      <c r="H9" s="2" t="s">
        <v>366</v>
      </c>
      <c r="I9" s="2" t="s">
        <v>367</v>
      </c>
      <c r="J9" s="2" t="s">
        <v>76</v>
      </c>
      <c r="K9" s="14">
        <f>IFERROR(AVERAGEIF(Link_Project_Req!$B$2:$B$68,$A9,Link_Project_Req!$C$2:$C$68),0)</f>
        <v>0.4</v>
      </c>
      <c r="L9" t="str">
        <f t="shared" si="0"/>
        <v>قيد التنفيذ</v>
      </c>
      <c r="M9" s="2" t="s">
        <v>109</v>
      </c>
      <c r="N9" s="2" t="s">
        <v>284</v>
      </c>
      <c r="O9" s="3">
        <v>46056</v>
      </c>
    </row>
    <row r="10" spans="1:15" ht="28.8" customHeight="1" x14ac:dyDescent="0.3">
      <c r="A10" s="2" t="s">
        <v>50</v>
      </c>
      <c r="B10" s="2" t="s">
        <v>51</v>
      </c>
      <c r="C10" s="2" t="s">
        <v>111</v>
      </c>
      <c r="D10" s="2" t="s">
        <v>129</v>
      </c>
      <c r="E10" s="2" t="s">
        <v>113</v>
      </c>
      <c r="F10" s="2" t="s">
        <v>113</v>
      </c>
      <c r="G10" s="2" t="s">
        <v>368</v>
      </c>
      <c r="H10" s="2" t="s">
        <v>369</v>
      </c>
      <c r="I10" s="2" t="s">
        <v>370</v>
      </c>
      <c r="J10" s="2" t="s">
        <v>77</v>
      </c>
      <c r="K10" s="14">
        <f>IFERROR(AVERAGEIF(Link_Project_Req!$B$2:$B$68,$A10,Link_Project_Req!$C$2:$C$68),0)</f>
        <v>0</v>
      </c>
      <c r="L10" t="str">
        <f t="shared" si="0"/>
        <v>لم يبدأ</v>
      </c>
      <c r="M10" s="2" t="s">
        <v>118</v>
      </c>
      <c r="N10" s="2" t="s">
        <v>300</v>
      </c>
      <c r="O10" s="3">
        <v>46056</v>
      </c>
    </row>
    <row r="11" spans="1:15" ht="43.2" customHeight="1" x14ac:dyDescent="0.3">
      <c r="A11" s="2" t="s">
        <v>40</v>
      </c>
      <c r="B11" s="2" t="s">
        <v>41</v>
      </c>
      <c r="C11" s="2" t="s">
        <v>111</v>
      </c>
      <c r="D11" s="2" t="s">
        <v>129</v>
      </c>
      <c r="E11" s="2" t="s">
        <v>113</v>
      </c>
      <c r="F11" s="2" t="s">
        <v>122</v>
      </c>
      <c r="G11" s="2" t="s">
        <v>371</v>
      </c>
      <c r="H11" s="2" t="s">
        <v>372</v>
      </c>
      <c r="I11" s="2" t="s">
        <v>373</v>
      </c>
      <c r="J11" s="2" t="s">
        <v>77</v>
      </c>
      <c r="K11" s="14">
        <f>IFERROR(AVERAGEIF(Link_Project_Req!$B$2:$B$68,$A11,Link_Project_Req!$C$2:$C$68),0)</f>
        <v>0</v>
      </c>
      <c r="L11" t="str">
        <f t="shared" si="0"/>
        <v>لم يبدأ</v>
      </c>
      <c r="M11" s="2" t="s">
        <v>118</v>
      </c>
      <c r="N11" s="2" t="s">
        <v>284</v>
      </c>
      <c r="O11" s="3">
        <v>46056</v>
      </c>
    </row>
    <row r="12" spans="1:15" ht="43.2" customHeight="1" x14ac:dyDescent="0.3">
      <c r="A12" s="2" t="s">
        <v>374</v>
      </c>
      <c r="B12" s="2" t="s">
        <v>375</v>
      </c>
      <c r="C12" s="2" t="s">
        <v>111</v>
      </c>
      <c r="D12" s="2" t="s">
        <v>129</v>
      </c>
      <c r="E12" s="2" t="s">
        <v>113</v>
      </c>
      <c r="F12" s="2" t="s">
        <v>113</v>
      </c>
      <c r="G12" s="2" t="s">
        <v>376</v>
      </c>
      <c r="H12" s="2" t="s">
        <v>372</v>
      </c>
      <c r="I12" s="2" t="s">
        <v>377</v>
      </c>
      <c r="J12" s="2" t="s">
        <v>76</v>
      </c>
      <c r="K12" s="14">
        <f>IFERROR(AVERAGEIF(Link_Project_Req!$B$2:$B$68,$A12,Link_Project_Req!$C$2:$C$68),0)</f>
        <v>0.4</v>
      </c>
      <c r="L12" t="str">
        <f t="shared" si="0"/>
        <v>قيد التنفيذ</v>
      </c>
      <c r="M12" s="2" t="s">
        <v>109</v>
      </c>
      <c r="N12" s="2" t="s">
        <v>300</v>
      </c>
      <c r="O12" s="3">
        <v>46056</v>
      </c>
    </row>
    <row r="13" spans="1:15" ht="43.2" customHeight="1" x14ac:dyDescent="0.3">
      <c r="A13" s="2" t="s">
        <v>378</v>
      </c>
      <c r="B13" s="2" t="s">
        <v>379</v>
      </c>
      <c r="C13" s="2" t="s">
        <v>111</v>
      </c>
      <c r="D13" s="2" t="s">
        <v>129</v>
      </c>
      <c r="E13" s="2" t="s">
        <v>113</v>
      </c>
      <c r="F13" s="2" t="s">
        <v>122</v>
      </c>
      <c r="G13" s="2" t="s">
        <v>380</v>
      </c>
      <c r="H13" s="2" t="s">
        <v>381</v>
      </c>
      <c r="I13" s="2" t="s">
        <v>382</v>
      </c>
      <c r="J13" s="2" t="s">
        <v>383</v>
      </c>
      <c r="K13" s="14">
        <f>IFERROR(AVERAGEIF(Link_Project_Req!$B$2:$B$68,$A13,Link_Project_Req!$C$2:$C$68),0)</f>
        <v>0.42500000000000004</v>
      </c>
      <c r="L13" t="str">
        <f t="shared" si="0"/>
        <v>قيد التنفيذ</v>
      </c>
      <c r="M13" s="2" t="s">
        <v>118</v>
      </c>
      <c r="N13" s="2" t="s">
        <v>284</v>
      </c>
      <c r="O13" s="3">
        <v>46056</v>
      </c>
    </row>
    <row r="14" spans="1:15" ht="28.8" customHeight="1" x14ac:dyDescent="0.3">
      <c r="A14" s="2" t="s">
        <v>290</v>
      </c>
      <c r="B14" s="2" t="s">
        <v>384</v>
      </c>
      <c r="C14" s="2" t="s">
        <v>120</v>
      </c>
      <c r="D14" s="2" t="s">
        <v>129</v>
      </c>
      <c r="E14" s="2" t="s">
        <v>101</v>
      </c>
      <c r="F14" s="2" t="s">
        <v>113</v>
      </c>
      <c r="G14" s="2" t="s">
        <v>385</v>
      </c>
      <c r="H14" s="2" t="s">
        <v>116</v>
      </c>
      <c r="I14" s="2" t="s">
        <v>289</v>
      </c>
      <c r="J14" s="2" t="s">
        <v>386</v>
      </c>
      <c r="K14" s="14">
        <f>IFERROR(AVERAGEIF(Link_Project_Req!$B$2:$B$68,$A14,Link_Project_Req!$C$2:$C$68),0)</f>
        <v>0.25</v>
      </c>
      <c r="L14" t="str">
        <f t="shared" si="0"/>
        <v>قيد التنفيذ</v>
      </c>
      <c r="M14" s="2" t="s">
        <v>118</v>
      </c>
      <c r="N14" s="2" t="s">
        <v>286</v>
      </c>
      <c r="O14" s="3">
        <v>46056</v>
      </c>
    </row>
    <row r="15" spans="1:15" ht="43.2" customHeight="1" x14ac:dyDescent="0.3">
      <c r="A15" s="2" t="s">
        <v>324</v>
      </c>
      <c r="B15" s="2" t="s">
        <v>387</v>
      </c>
      <c r="C15" s="2" t="s">
        <v>120</v>
      </c>
      <c r="D15" s="2" t="s">
        <v>129</v>
      </c>
      <c r="E15" s="2" t="s">
        <v>101</v>
      </c>
      <c r="F15" s="2" t="s">
        <v>122</v>
      </c>
      <c r="G15" s="2" t="s">
        <v>388</v>
      </c>
      <c r="H15" s="2" t="s">
        <v>137</v>
      </c>
      <c r="I15" s="2" t="s">
        <v>262</v>
      </c>
      <c r="J15" s="2" t="s">
        <v>389</v>
      </c>
      <c r="K15" s="14">
        <f>IFERROR(AVERAGEIF(Link_Project_Req!$B$2:$B$68,$A15,Link_Project_Req!$C$2:$C$68),0)</f>
        <v>0.2</v>
      </c>
      <c r="L15" t="str">
        <f t="shared" si="0"/>
        <v>قيد التنفيذ</v>
      </c>
      <c r="M15" s="2" t="s">
        <v>118</v>
      </c>
      <c r="N15" s="2" t="s">
        <v>286</v>
      </c>
      <c r="O15" s="3">
        <v>46056</v>
      </c>
    </row>
    <row r="16" spans="1:15" ht="43.2" customHeight="1" x14ac:dyDescent="0.3">
      <c r="A16" s="2" t="s">
        <v>293</v>
      </c>
      <c r="B16" s="2" t="s">
        <v>390</v>
      </c>
      <c r="C16" s="2" t="s">
        <v>120</v>
      </c>
      <c r="D16" s="2" t="s">
        <v>129</v>
      </c>
      <c r="E16" s="2" t="s">
        <v>113</v>
      </c>
      <c r="F16" s="2" t="s">
        <v>113</v>
      </c>
      <c r="G16" s="2" t="s">
        <v>391</v>
      </c>
      <c r="H16" s="2" t="s">
        <v>392</v>
      </c>
      <c r="I16" s="2" t="s">
        <v>393</v>
      </c>
      <c r="J16" s="2" t="s">
        <v>80</v>
      </c>
      <c r="K16" s="14">
        <f>IFERROR(AVERAGEIF(Link_Project_Req!$B$2:$B$68,$A16,Link_Project_Req!$C$2:$C$68),0)</f>
        <v>0.45</v>
      </c>
      <c r="L16" t="str">
        <f t="shared" si="0"/>
        <v>قيد التنفيذ</v>
      </c>
      <c r="M16" s="2" t="s">
        <v>118</v>
      </c>
      <c r="N16" s="2" t="s">
        <v>284</v>
      </c>
      <c r="O16" s="3">
        <v>46056</v>
      </c>
    </row>
    <row r="17" spans="1:15" ht="43.2" customHeight="1" x14ac:dyDescent="0.3">
      <c r="A17" s="2" t="s">
        <v>52</v>
      </c>
      <c r="B17" s="2" t="s">
        <v>53</v>
      </c>
      <c r="C17" s="2" t="s">
        <v>100</v>
      </c>
      <c r="D17" s="2" t="s">
        <v>135</v>
      </c>
      <c r="E17" s="2" t="s">
        <v>113</v>
      </c>
      <c r="F17" s="2" t="s">
        <v>122</v>
      </c>
      <c r="G17" s="2" t="s">
        <v>394</v>
      </c>
      <c r="H17" s="2" t="s">
        <v>395</v>
      </c>
      <c r="I17" s="2" t="s">
        <v>396</v>
      </c>
      <c r="J17" s="2" t="s">
        <v>397</v>
      </c>
      <c r="K17" s="14">
        <f>IFERROR(AVERAGEIF(Link_Project_Req!$B$2:$B$68,$A17,Link_Project_Req!$C$2:$C$68),0)</f>
        <v>0.1</v>
      </c>
      <c r="L17" t="str">
        <f t="shared" si="0"/>
        <v>قيد التنفيذ</v>
      </c>
      <c r="M17" s="2" t="s">
        <v>118</v>
      </c>
      <c r="N17" s="2" t="s">
        <v>119</v>
      </c>
      <c r="O17" s="3">
        <v>46056</v>
      </c>
    </row>
    <row r="18" spans="1:15" ht="43.2" customHeight="1" x14ac:dyDescent="0.3">
      <c r="A18" s="2" t="s">
        <v>288</v>
      </c>
      <c r="B18" s="2" t="s">
        <v>398</v>
      </c>
      <c r="C18" s="2" t="s">
        <v>120</v>
      </c>
      <c r="D18" s="2" t="s">
        <v>129</v>
      </c>
      <c r="E18" s="2" t="s">
        <v>101</v>
      </c>
      <c r="F18" s="2" t="s">
        <v>122</v>
      </c>
      <c r="G18" s="2" t="s">
        <v>399</v>
      </c>
      <c r="H18" s="2" t="s">
        <v>116</v>
      </c>
      <c r="I18" s="2" t="s">
        <v>287</v>
      </c>
      <c r="J18" s="2" t="s">
        <v>400</v>
      </c>
      <c r="K18" s="14">
        <f>IFERROR(AVERAGEIF(Link_Project_Req!$B$2:$B$68,$A18,Link_Project_Req!$C$2:$C$68),0)</f>
        <v>0.45</v>
      </c>
      <c r="L18" t="str">
        <f t="shared" si="0"/>
        <v>قيد التنفيذ</v>
      </c>
      <c r="M18" s="2" t="s">
        <v>109</v>
      </c>
      <c r="N18" s="2" t="s">
        <v>286</v>
      </c>
      <c r="O18" s="3">
        <v>46056</v>
      </c>
    </row>
    <row r="19" spans="1:15" ht="43.2" customHeight="1" x14ac:dyDescent="0.3">
      <c r="A19" s="2" t="s">
        <v>401</v>
      </c>
      <c r="B19" s="2" t="s">
        <v>402</v>
      </c>
      <c r="C19" s="2" t="s">
        <v>100</v>
      </c>
      <c r="D19" s="2" t="s">
        <v>135</v>
      </c>
      <c r="E19" s="2" t="s">
        <v>113</v>
      </c>
      <c r="F19" s="2" t="s">
        <v>113</v>
      </c>
      <c r="G19" s="2" t="s">
        <v>403</v>
      </c>
      <c r="H19" s="2" t="s">
        <v>404</v>
      </c>
      <c r="I19" s="2" t="s">
        <v>307</v>
      </c>
      <c r="J19" s="2" t="s">
        <v>405</v>
      </c>
      <c r="K19" s="14">
        <f>IFERROR(AVERAGEIF(Link_Project_Req!$B$2:$B$68,$A19,Link_Project_Req!$C$2:$C$68),0)</f>
        <v>0.2</v>
      </c>
      <c r="L19" t="str">
        <f t="shared" si="0"/>
        <v>قيد التنفيذ</v>
      </c>
      <c r="M19" s="2" t="s">
        <v>109</v>
      </c>
      <c r="N19" s="2" t="s">
        <v>284</v>
      </c>
      <c r="O19" s="3">
        <v>46056</v>
      </c>
    </row>
    <row r="20" spans="1:15" ht="43.2" customHeight="1" x14ac:dyDescent="0.3">
      <c r="A20" s="2" t="s">
        <v>406</v>
      </c>
      <c r="B20" s="2" t="s">
        <v>407</v>
      </c>
      <c r="C20" s="2" t="s">
        <v>100</v>
      </c>
      <c r="D20" s="2" t="s">
        <v>135</v>
      </c>
      <c r="E20" s="2" t="s">
        <v>101</v>
      </c>
      <c r="F20" s="2" t="s">
        <v>113</v>
      </c>
      <c r="G20" s="2" t="s">
        <v>408</v>
      </c>
      <c r="H20" s="2" t="s">
        <v>409</v>
      </c>
      <c r="I20" s="2" t="s">
        <v>410</v>
      </c>
      <c r="J20" s="2" t="s">
        <v>411</v>
      </c>
      <c r="K20" s="14">
        <f>IFERROR(AVERAGEIF(Link_Project_Req!$B$2:$B$68,$A20,Link_Project_Req!$C$2:$C$68),0)</f>
        <v>0.35</v>
      </c>
      <c r="L20" t="str">
        <f t="shared" si="0"/>
        <v>قيد التنفيذ</v>
      </c>
      <c r="M20" s="2" t="s">
        <v>109</v>
      </c>
      <c r="N20" s="2" t="s">
        <v>119</v>
      </c>
      <c r="O20" s="3">
        <v>46056</v>
      </c>
    </row>
    <row r="21" spans="1:15" ht="43.2" customHeight="1" x14ac:dyDescent="0.3">
      <c r="A21" s="2" t="s">
        <v>412</v>
      </c>
      <c r="B21" s="2" t="s">
        <v>413</v>
      </c>
      <c r="C21" s="2" t="s">
        <v>100</v>
      </c>
      <c r="D21" s="2" t="s">
        <v>135</v>
      </c>
      <c r="E21" s="2" t="s">
        <v>113</v>
      </c>
      <c r="F21" s="2" t="s">
        <v>113</v>
      </c>
      <c r="G21" s="2" t="s">
        <v>414</v>
      </c>
      <c r="H21" s="2" t="s">
        <v>343</v>
      </c>
      <c r="I21" s="2" t="s">
        <v>161</v>
      </c>
      <c r="J21" s="2" t="s">
        <v>411</v>
      </c>
      <c r="K21" s="14">
        <f>IFERROR(AVERAGEIF(Link_Project_Req!$B$2:$B$68,$A21,Link_Project_Req!$C$2:$C$68),0)</f>
        <v>0.35</v>
      </c>
      <c r="L21" t="str">
        <f t="shared" si="0"/>
        <v>قيد التنفيذ</v>
      </c>
      <c r="M21" s="2" t="s">
        <v>118</v>
      </c>
      <c r="N21" s="2" t="s">
        <v>119</v>
      </c>
      <c r="O21" s="3">
        <v>46056</v>
      </c>
    </row>
    <row r="22" spans="1:15" ht="28.8" customHeight="1" x14ac:dyDescent="0.3">
      <c r="A22" s="2" t="s">
        <v>38</v>
      </c>
      <c r="B22" s="2" t="s">
        <v>39</v>
      </c>
      <c r="C22" s="2" t="s">
        <v>100</v>
      </c>
      <c r="D22" s="2" t="s">
        <v>135</v>
      </c>
      <c r="E22" s="2" t="s">
        <v>112</v>
      </c>
      <c r="F22" s="2" t="s">
        <v>113</v>
      </c>
      <c r="G22" s="2" t="s">
        <v>415</v>
      </c>
      <c r="H22" s="2" t="s">
        <v>416</v>
      </c>
      <c r="I22" s="2" t="s">
        <v>417</v>
      </c>
      <c r="J22" s="2" t="s">
        <v>418</v>
      </c>
      <c r="K22" s="14">
        <f>IFERROR(AVERAGEIF(Link_Project_Req!$B$2:$B$68,$A22,Link_Project_Req!$C$2:$C$68),0)</f>
        <v>0</v>
      </c>
      <c r="L22" t="str">
        <f t="shared" si="0"/>
        <v>لم يبدأ</v>
      </c>
      <c r="M22" s="2" t="s">
        <v>109</v>
      </c>
      <c r="N22" s="2" t="s">
        <v>119</v>
      </c>
      <c r="O22" s="3">
        <v>46056</v>
      </c>
    </row>
    <row r="23" spans="1:15" ht="43.2" customHeight="1" x14ac:dyDescent="0.3">
      <c r="A23" s="2" t="s">
        <v>419</v>
      </c>
      <c r="B23" s="2" t="s">
        <v>420</v>
      </c>
      <c r="C23" s="2" t="s">
        <v>100</v>
      </c>
      <c r="D23" s="2" t="s">
        <v>135</v>
      </c>
      <c r="E23" s="2" t="s">
        <v>112</v>
      </c>
      <c r="F23" s="2" t="s">
        <v>122</v>
      </c>
      <c r="G23" s="2" t="s">
        <v>421</v>
      </c>
      <c r="H23" s="2" t="s">
        <v>422</v>
      </c>
      <c r="I23" s="2" t="s">
        <v>423</v>
      </c>
      <c r="J23" s="2" t="s">
        <v>424</v>
      </c>
      <c r="K23" s="14">
        <f>IFERROR(AVERAGEIF(Link_Project_Req!$B$2:$B$68,$A23,Link_Project_Req!$C$2:$C$68),0)</f>
        <v>0.375</v>
      </c>
      <c r="L23" t="str">
        <f t="shared" si="0"/>
        <v>قيد التنفيذ</v>
      </c>
      <c r="M23" s="2" t="s">
        <v>118</v>
      </c>
      <c r="N23" s="2" t="s">
        <v>119</v>
      </c>
      <c r="O23" s="3">
        <v>46056</v>
      </c>
    </row>
    <row r="24" spans="1:15" ht="43.2" customHeight="1" x14ac:dyDescent="0.3">
      <c r="A24" s="2" t="s">
        <v>56</v>
      </c>
      <c r="B24" s="2" t="s">
        <v>57</v>
      </c>
      <c r="C24" s="2" t="s">
        <v>100</v>
      </c>
      <c r="D24" s="2" t="s">
        <v>135</v>
      </c>
      <c r="E24" s="2" t="s">
        <v>113</v>
      </c>
      <c r="F24" s="2" t="s">
        <v>113</v>
      </c>
      <c r="G24" s="2" t="s">
        <v>425</v>
      </c>
      <c r="H24" s="2" t="s">
        <v>131</v>
      </c>
      <c r="I24" s="2" t="s">
        <v>281</v>
      </c>
      <c r="J24" s="2" t="s">
        <v>426</v>
      </c>
      <c r="K24" s="14">
        <f>IFERROR(AVERAGEIF(Link_Project_Req!$B$2:$B$68,$A24,Link_Project_Req!$C$2:$C$68),0)</f>
        <v>0.125</v>
      </c>
      <c r="L24" t="str">
        <f t="shared" si="0"/>
        <v>قيد التنفيذ</v>
      </c>
      <c r="M24" s="2" t="s">
        <v>118</v>
      </c>
      <c r="N24" s="2" t="s">
        <v>284</v>
      </c>
      <c r="O24" s="3">
        <v>46056</v>
      </c>
    </row>
    <row r="25" spans="1:15" ht="43.2" customHeight="1" x14ac:dyDescent="0.3">
      <c r="A25" s="2" t="s">
        <v>427</v>
      </c>
      <c r="B25" s="2" t="s">
        <v>428</v>
      </c>
      <c r="C25" s="2" t="s">
        <v>100</v>
      </c>
      <c r="D25" s="2" t="s">
        <v>110</v>
      </c>
      <c r="E25" s="2" t="s">
        <v>101</v>
      </c>
      <c r="F25" s="2" t="s">
        <v>113</v>
      </c>
      <c r="G25" s="2" t="s">
        <v>429</v>
      </c>
      <c r="H25" s="2" t="s">
        <v>430</v>
      </c>
      <c r="I25" s="2" t="s">
        <v>431</v>
      </c>
      <c r="J25" s="2" t="s">
        <v>432</v>
      </c>
      <c r="K25" s="14">
        <f>IFERROR(AVERAGEIF(Link_Project_Req!$B$2:$B$68,$A25,Link_Project_Req!$C$2:$C$68),0)</f>
        <v>0.75</v>
      </c>
      <c r="L25" t="str">
        <f t="shared" si="0"/>
        <v>قيد التنفيذ</v>
      </c>
      <c r="M25" s="2" t="s">
        <v>118</v>
      </c>
      <c r="N25" s="2" t="s">
        <v>119</v>
      </c>
      <c r="O25" s="3">
        <v>46056</v>
      </c>
    </row>
    <row r="26" spans="1:15" ht="28.8" customHeight="1" x14ac:dyDescent="0.3">
      <c r="A26" s="2" t="s">
        <v>42</v>
      </c>
      <c r="B26" s="2" t="s">
        <v>43</v>
      </c>
      <c r="C26" s="2" t="s">
        <v>100</v>
      </c>
      <c r="D26" s="2" t="s">
        <v>110</v>
      </c>
      <c r="E26" s="2" t="s">
        <v>113</v>
      </c>
      <c r="F26" s="2" t="s">
        <v>113</v>
      </c>
      <c r="G26" s="2" t="s">
        <v>433</v>
      </c>
      <c r="H26" s="2" t="s">
        <v>116</v>
      </c>
      <c r="I26" s="2" t="s">
        <v>176</v>
      </c>
      <c r="J26" s="2" t="s">
        <v>434</v>
      </c>
      <c r="K26" s="14">
        <f>IFERROR(AVERAGEIF(Link_Project_Req!$B$2:$B$68,$A26,Link_Project_Req!$C$2:$C$68),0)</f>
        <v>0</v>
      </c>
      <c r="L26" t="str">
        <f t="shared" si="0"/>
        <v>لم يبدأ</v>
      </c>
      <c r="M26" s="2" t="s">
        <v>109</v>
      </c>
      <c r="N26" s="2" t="s">
        <v>284</v>
      </c>
      <c r="O26" s="3">
        <v>46056</v>
      </c>
    </row>
    <row r="27" spans="1:15" ht="57.6" customHeight="1" x14ac:dyDescent="0.3">
      <c r="A27" s="2" t="s">
        <v>435</v>
      </c>
      <c r="B27" s="2" t="s">
        <v>436</v>
      </c>
      <c r="C27" s="2" t="s">
        <v>100</v>
      </c>
      <c r="D27" s="2" t="s">
        <v>110</v>
      </c>
      <c r="E27" s="2" t="s">
        <v>113</v>
      </c>
      <c r="F27" s="2" t="s">
        <v>122</v>
      </c>
      <c r="G27" s="2" t="s">
        <v>437</v>
      </c>
      <c r="H27" s="2" t="s">
        <v>409</v>
      </c>
      <c r="I27" s="2" t="s">
        <v>438</v>
      </c>
      <c r="J27" s="2" t="s">
        <v>439</v>
      </c>
      <c r="K27" s="14">
        <f>IFERROR(AVERAGEIF(Link_Project_Req!$B$2:$B$68,$A27,Link_Project_Req!$C$2:$C$68),0)</f>
        <v>0.47499999999999998</v>
      </c>
      <c r="L27" t="str">
        <f t="shared" si="0"/>
        <v>قيد التنفيذ</v>
      </c>
      <c r="M27" s="2" t="s">
        <v>118</v>
      </c>
      <c r="N27" s="2" t="s">
        <v>119</v>
      </c>
      <c r="O27" s="3">
        <v>46056</v>
      </c>
    </row>
    <row r="28" spans="1:15" ht="43.2" customHeight="1" x14ac:dyDescent="0.3">
      <c r="A28" s="2" t="s">
        <v>440</v>
      </c>
      <c r="B28" s="2" t="s">
        <v>441</v>
      </c>
      <c r="C28" s="2" t="s">
        <v>100</v>
      </c>
      <c r="D28" s="2" t="s">
        <v>110</v>
      </c>
      <c r="E28" s="2" t="s">
        <v>113</v>
      </c>
      <c r="F28" s="2" t="s">
        <v>113</v>
      </c>
      <c r="G28" s="2" t="s">
        <v>442</v>
      </c>
      <c r="H28" s="2" t="s">
        <v>409</v>
      </c>
      <c r="I28" s="2" t="s">
        <v>245</v>
      </c>
      <c r="J28" s="2" t="s">
        <v>67</v>
      </c>
      <c r="K28" s="14">
        <f>IFERROR(AVERAGEIF(Link_Project_Req!$B$2:$B$68,$A28,Link_Project_Req!$C$2:$C$68),0)</f>
        <v>0.75</v>
      </c>
      <c r="L28" t="str">
        <f t="shared" si="0"/>
        <v>قيد التنفيذ</v>
      </c>
      <c r="M28" s="2" t="s">
        <v>109</v>
      </c>
      <c r="N28" s="2" t="s">
        <v>119</v>
      </c>
      <c r="O28" s="3">
        <v>46056</v>
      </c>
    </row>
    <row r="29" spans="1:15" ht="43.2" customHeight="1" x14ac:dyDescent="0.3">
      <c r="A29" s="2" t="s">
        <v>443</v>
      </c>
      <c r="B29" s="2" t="s">
        <v>444</v>
      </c>
      <c r="C29" s="2" t="s">
        <v>100</v>
      </c>
      <c r="D29" s="2" t="s">
        <v>110</v>
      </c>
      <c r="E29" s="2" t="s">
        <v>113</v>
      </c>
      <c r="F29" s="2" t="s">
        <v>113</v>
      </c>
      <c r="G29" s="2" t="s">
        <v>445</v>
      </c>
      <c r="H29" s="2" t="s">
        <v>372</v>
      </c>
      <c r="I29" s="2" t="s">
        <v>446</v>
      </c>
      <c r="J29" s="2" t="s">
        <v>447</v>
      </c>
      <c r="K29" s="14">
        <f>IFERROR(AVERAGEIF(Link_Project_Req!$B$2:$B$68,$A29,Link_Project_Req!$C$2:$C$68),0)</f>
        <v>0.4</v>
      </c>
      <c r="L29" t="str">
        <f t="shared" si="0"/>
        <v>قيد التنفيذ</v>
      </c>
      <c r="M29" s="2" t="s">
        <v>118</v>
      </c>
      <c r="N29" s="2" t="s">
        <v>119</v>
      </c>
      <c r="O29" s="3">
        <v>46056</v>
      </c>
    </row>
    <row r="30" spans="1:15" ht="28.8" customHeight="1" x14ac:dyDescent="0.3">
      <c r="A30" s="2" t="s">
        <v>448</v>
      </c>
      <c r="B30" s="2" t="s">
        <v>449</v>
      </c>
      <c r="C30" s="2" t="s">
        <v>100</v>
      </c>
      <c r="D30" s="2" t="s">
        <v>110</v>
      </c>
      <c r="E30" s="2" t="s">
        <v>113</v>
      </c>
      <c r="F30" s="2" t="s">
        <v>113</v>
      </c>
      <c r="G30" s="2" t="s">
        <v>450</v>
      </c>
      <c r="H30" s="2" t="s">
        <v>106</v>
      </c>
      <c r="I30" s="2" t="s">
        <v>451</v>
      </c>
      <c r="J30" s="2" t="s">
        <v>73</v>
      </c>
      <c r="K30" s="14">
        <f>IFERROR(AVERAGEIF(Link_Project_Req!$B$2:$B$68,$A30,Link_Project_Req!$C$2:$C$68),0)</f>
        <v>0.4</v>
      </c>
      <c r="L30" t="str">
        <f t="shared" si="0"/>
        <v>قيد التنفيذ</v>
      </c>
      <c r="M30" s="2" t="s">
        <v>118</v>
      </c>
      <c r="N30" s="2" t="s">
        <v>284</v>
      </c>
      <c r="O30" s="3">
        <v>46056</v>
      </c>
    </row>
    <row r="31" spans="1:15" ht="43.2" customHeight="1" x14ac:dyDescent="0.3">
      <c r="A31" s="2" t="s">
        <v>452</v>
      </c>
      <c r="B31" s="2" t="s">
        <v>453</v>
      </c>
      <c r="C31" s="2" t="s">
        <v>100</v>
      </c>
      <c r="D31" s="2" t="s">
        <v>110</v>
      </c>
      <c r="E31" s="2" t="s">
        <v>101</v>
      </c>
      <c r="F31" s="2" t="s">
        <v>122</v>
      </c>
      <c r="G31" s="2" t="s">
        <v>454</v>
      </c>
      <c r="H31" s="2" t="s">
        <v>338</v>
      </c>
      <c r="I31" s="2" t="s">
        <v>455</v>
      </c>
      <c r="J31" s="2" t="s">
        <v>340</v>
      </c>
      <c r="K31" s="14">
        <f>IFERROR(AVERAGEIF(Link_Project_Req!$B$2:$B$68,$A31,Link_Project_Req!$C$2:$C$68),0)</f>
        <v>0.375</v>
      </c>
      <c r="L31" t="str">
        <f t="shared" si="0"/>
        <v>قيد التنفيذ</v>
      </c>
      <c r="M31" s="2" t="s">
        <v>118</v>
      </c>
      <c r="N31" s="2" t="s">
        <v>119</v>
      </c>
      <c r="O31" s="3">
        <v>46056</v>
      </c>
    </row>
    <row r="32" spans="1:15" ht="28.8" customHeight="1" x14ac:dyDescent="0.3">
      <c r="A32" s="2" t="s">
        <v>456</v>
      </c>
      <c r="B32" s="2" t="s">
        <v>457</v>
      </c>
      <c r="C32" s="2" t="s">
        <v>100</v>
      </c>
      <c r="D32" s="2" t="s">
        <v>110</v>
      </c>
      <c r="E32" s="2" t="s">
        <v>113</v>
      </c>
      <c r="F32" s="2" t="s">
        <v>113</v>
      </c>
      <c r="G32" s="2" t="s">
        <v>458</v>
      </c>
      <c r="H32" s="2" t="s">
        <v>459</v>
      </c>
      <c r="I32" s="2" t="s">
        <v>460</v>
      </c>
      <c r="J32" s="2" t="s">
        <v>67</v>
      </c>
      <c r="K32" s="14">
        <f>IFERROR(AVERAGEIF(Link_Project_Req!$B$2:$B$68,$A32,Link_Project_Req!$C$2:$C$68),0)</f>
        <v>0.75</v>
      </c>
      <c r="L32" t="str">
        <f t="shared" si="0"/>
        <v>قيد التنفيذ</v>
      </c>
      <c r="M32" s="2" t="s">
        <v>109</v>
      </c>
      <c r="N32" s="2" t="s">
        <v>119</v>
      </c>
      <c r="O32" s="3">
        <v>46056</v>
      </c>
    </row>
    <row r="33" spans="1:15" ht="28.8" customHeight="1" x14ac:dyDescent="0.3">
      <c r="A33" s="2" t="s">
        <v>461</v>
      </c>
      <c r="B33" s="2" t="s">
        <v>462</v>
      </c>
      <c r="C33" s="2" t="s">
        <v>100</v>
      </c>
      <c r="D33" s="2" t="s">
        <v>110</v>
      </c>
      <c r="E33" s="2" t="s">
        <v>113</v>
      </c>
      <c r="F33" s="2" t="s">
        <v>113</v>
      </c>
      <c r="G33" s="2" t="s">
        <v>463</v>
      </c>
      <c r="H33" s="2" t="s">
        <v>116</v>
      </c>
      <c r="I33" s="2" t="s">
        <v>464</v>
      </c>
      <c r="J33" s="2" t="s">
        <v>72</v>
      </c>
      <c r="K33" s="14">
        <f>IFERROR(AVERAGEIF(Link_Project_Req!$B$2:$B$68,$A33,Link_Project_Req!$C$2:$C$68),0)</f>
        <v>0.45</v>
      </c>
      <c r="L33" t="str">
        <f t="shared" si="0"/>
        <v>قيد التنفيذ</v>
      </c>
      <c r="M33" s="2" t="s">
        <v>109</v>
      </c>
      <c r="N33" s="2" t="s">
        <v>284</v>
      </c>
      <c r="O33" s="3">
        <v>46056</v>
      </c>
    </row>
    <row r="34" spans="1:15" ht="43.2" customHeight="1" x14ac:dyDescent="0.3">
      <c r="A34" s="2" t="s">
        <v>48</v>
      </c>
      <c r="B34" s="2" t="s">
        <v>49</v>
      </c>
      <c r="C34" s="2" t="s">
        <v>100</v>
      </c>
      <c r="D34" s="2" t="s">
        <v>110</v>
      </c>
      <c r="E34" s="2" t="s">
        <v>113</v>
      </c>
      <c r="F34" s="2" t="s">
        <v>113</v>
      </c>
      <c r="G34" s="2" t="s">
        <v>465</v>
      </c>
      <c r="H34" s="2" t="s">
        <v>372</v>
      </c>
      <c r="I34" s="2" t="s">
        <v>466</v>
      </c>
      <c r="J34" s="2" t="s">
        <v>351</v>
      </c>
      <c r="K34" s="14">
        <f>IFERROR(AVERAGEIF(Link_Project_Req!$B$2:$B$68,$A34,Link_Project_Req!$C$2:$C$68),0)</f>
        <v>0</v>
      </c>
      <c r="L34" t="str">
        <f t="shared" si="0"/>
        <v>لم يبدأ</v>
      </c>
      <c r="M34" s="2" t="s">
        <v>109</v>
      </c>
      <c r="N34" s="2" t="s">
        <v>119</v>
      </c>
      <c r="O34" s="3">
        <v>46056</v>
      </c>
    </row>
    <row r="35" spans="1:15" ht="43.2" customHeight="1" x14ac:dyDescent="0.3">
      <c r="A35" s="2" t="s">
        <v>467</v>
      </c>
      <c r="B35" s="2" t="s">
        <v>468</v>
      </c>
      <c r="C35" s="2" t="s">
        <v>100</v>
      </c>
      <c r="D35" s="2" t="s">
        <v>110</v>
      </c>
      <c r="E35" s="2" t="s">
        <v>113</v>
      </c>
      <c r="F35" s="2" t="s">
        <v>113</v>
      </c>
      <c r="G35" s="2" t="s">
        <v>469</v>
      </c>
      <c r="H35" s="2" t="s">
        <v>372</v>
      </c>
      <c r="I35" s="2" t="s">
        <v>470</v>
      </c>
      <c r="J35" s="2" t="s">
        <v>72</v>
      </c>
      <c r="K35" s="14">
        <f>IFERROR(AVERAGEIF(Link_Project_Req!$B$2:$B$68,$A35,Link_Project_Req!$C$2:$C$68),0)</f>
        <v>0.45</v>
      </c>
      <c r="L35" t="str">
        <f t="shared" si="0"/>
        <v>قيد التنفيذ</v>
      </c>
      <c r="M35" s="2" t="s">
        <v>109</v>
      </c>
      <c r="N35" s="2" t="s">
        <v>284</v>
      </c>
      <c r="O35" s="3">
        <v>46056</v>
      </c>
    </row>
    <row r="36" spans="1:15" ht="43.2" customHeight="1" x14ac:dyDescent="0.3">
      <c r="A36" s="2" t="s">
        <v>54</v>
      </c>
      <c r="B36" s="2" t="s">
        <v>55</v>
      </c>
      <c r="C36" s="2" t="s">
        <v>100</v>
      </c>
      <c r="D36" s="2" t="s">
        <v>110</v>
      </c>
      <c r="E36" s="2" t="s">
        <v>113</v>
      </c>
      <c r="F36" s="2" t="s">
        <v>113</v>
      </c>
      <c r="G36" s="2" t="s">
        <v>471</v>
      </c>
      <c r="H36" s="2" t="s">
        <v>472</v>
      </c>
      <c r="I36" s="2" t="s">
        <v>473</v>
      </c>
      <c r="J36" s="2" t="s">
        <v>397</v>
      </c>
      <c r="K36" s="14">
        <f>IFERROR(AVERAGEIF(Link_Project_Req!$B$2:$B$68,$A36,Link_Project_Req!$C$2:$C$68),0)</f>
        <v>0.1</v>
      </c>
      <c r="L36" t="str">
        <f t="shared" si="0"/>
        <v>قيد التنفيذ</v>
      </c>
      <c r="M36" s="2" t="s">
        <v>118</v>
      </c>
      <c r="N36" s="2" t="s">
        <v>119</v>
      </c>
      <c r="O36" s="3">
        <v>46056</v>
      </c>
    </row>
    <row r="37" spans="1:15" ht="28.8" customHeight="1" x14ac:dyDescent="0.3">
      <c r="A37" s="2" t="s">
        <v>474</v>
      </c>
      <c r="B37" s="2" t="s">
        <v>475</v>
      </c>
      <c r="C37" s="2" t="s">
        <v>100</v>
      </c>
      <c r="D37" s="2" t="s">
        <v>110</v>
      </c>
      <c r="E37" s="2" t="s">
        <v>113</v>
      </c>
      <c r="F37" s="2" t="s">
        <v>113</v>
      </c>
      <c r="G37" s="2" t="s">
        <v>476</v>
      </c>
      <c r="H37" s="2" t="s">
        <v>131</v>
      </c>
      <c r="I37" s="2" t="s">
        <v>178</v>
      </c>
      <c r="J37" s="2" t="s">
        <v>68</v>
      </c>
      <c r="K37" s="14">
        <f>IFERROR(AVERAGEIF(Link_Project_Req!$B$2:$B$68,$A37,Link_Project_Req!$C$2:$C$68),0)</f>
        <v>0.2</v>
      </c>
      <c r="L37" t="str">
        <f t="shared" si="0"/>
        <v>قيد التنفيذ</v>
      </c>
      <c r="M37" s="2" t="s">
        <v>118</v>
      </c>
      <c r="N37" s="2" t="s">
        <v>284</v>
      </c>
      <c r="O37" s="3">
        <v>46056</v>
      </c>
    </row>
    <row r="38" spans="1:15" ht="43.2" customHeight="1" x14ac:dyDescent="0.3">
      <c r="A38" s="2" t="s">
        <v>477</v>
      </c>
      <c r="B38" s="2" t="s">
        <v>478</v>
      </c>
      <c r="C38" s="2" t="s">
        <v>100</v>
      </c>
      <c r="D38" s="2" t="s">
        <v>110</v>
      </c>
      <c r="E38" s="2" t="s">
        <v>113</v>
      </c>
      <c r="F38" s="2" t="s">
        <v>122</v>
      </c>
      <c r="G38" s="2" t="s">
        <v>479</v>
      </c>
      <c r="H38" s="2" t="s">
        <v>338</v>
      </c>
      <c r="I38" s="2" t="s">
        <v>480</v>
      </c>
      <c r="J38" s="2" t="s">
        <v>340</v>
      </c>
      <c r="K38" s="14">
        <f>IFERROR(AVERAGEIF(Link_Project_Req!$B$2:$B$68,$A38,Link_Project_Req!$C$2:$C$68),0)</f>
        <v>0.375</v>
      </c>
      <c r="L38" t="str">
        <f t="shared" si="0"/>
        <v>قيد التنفيذ</v>
      </c>
      <c r="M38" s="2" t="s">
        <v>118</v>
      </c>
      <c r="N38" s="2" t="s">
        <v>119</v>
      </c>
      <c r="O38" s="3">
        <v>46056</v>
      </c>
    </row>
    <row r="39" spans="1:15" ht="43.2" customHeight="1" x14ac:dyDescent="0.3">
      <c r="A39" s="2" t="s">
        <v>481</v>
      </c>
      <c r="B39" s="2" t="s">
        <v>482</v>
      </c>
      <c r="C39" s="2" t="s">
        <v>100</v>
      </c>
      <c r="D39" s="2" t="s">
        <v>110</v>
      </c>
      <c r="E39" s="2" t="s">
        <v>113</v>
      </c>
      <c r="F39" s="2" t="s">
        <v>122</v>
      </c>
      <c r="G39" s="2" t="s">
        <v>483</v>
      </c>
      <c r="H39" s="2" t="s">
        <v>338</v>
      </c>
      <c r="I39" s="2" t="s">
        <v>484</v>
      </c>
      <c r="J39" s="2" t="s">
        <v>340</v>
      </c>
      <c r="K39" s="14">
        <f>IFERROR(AVERAGEIF(Link_Project_Req!$B$2:$B$68,$A39,Link_Project_Req!$C$2:$C$68),0)</f>
        <v>0.375</v>
      </c>
      <c r="L39" t="str">
        <f t="shared" si="0"/>
        <v>قيد التنفيذ</v>
      </c>
      <c r="M39" s="2" t="s">
        <v>109</v>
      </c>
      <c r="N39" s="2" t="s">
        <v>119</v>
      </c>
      <c r="O39" s="3">
        <v>46056</v>
      </c>
    </row>
    <row r="40" spans="1:15" ht="28.8" customHeight="1" x14ac:dyDescent="0.3">
      <c r="A40" s="2" t="s">
        <v>485</v>
      </c>
      <c r="B40" s="2" t="s">
        <v>486</v>
      </c>
      <c r="C40" s="2" t="s">
        <v>100</v>
      </c>
      <c r="D40" s="2" t="s">
        <v>110</v>
      </c>
      <c r="E40" s="2" t="s">
        <v>112</v>
      </c>
      <c r="F40" s="2" t="s">
        <v>122</v>
      </c>
      <c r="G40" s="2" t="s">
        <v>487</v>
      </c>
      <c r="H40" s="2" t="s">
        <v>488</v>
      </c>
      <c r="I40" s="2" t="s">
        <v>489</v>
      </c>
      <c r="J40" s="2" t="s">
        <v>68</v>
      </c>
      <c r="K40" s="14">
        <f>IFERROR(AVERAGEIF(Link_Project_Req!$B$2:$B$68,$A40,Link_Project_Req!$C$2:$C$68),0)</f>
        <v>0.2</v>
      </c>
      <c r="L40" t="str">
        <f t="shared" si="0"/>
        <v>قيد التنفيذ</v>
      </c>
      <c r="M40" s="2" t="s">
        <v>118</v>
      </c>
      <c r="N40" s="2" t="s">
        <v>284</v>
      </c>
      <c r="O40" s="3">
        <v>46056</v>
      </c>
    </row>
    <row r="41" spans="1:15" ht="43.2" customHeight="1" x14ac:dyDescent="0.3">
      <c r="A41" s="2" t="s">
        <v>490</v>
      </c>
      <c r="B41" s="2" t="s">
        <v>491</v>
      </c>
      <c r="C41" s="2" t="s">
        <v>100</v>
      </c>
      <c r="D41" s="2" t="s">
        <v>110</v>
      </c>
      <c r="E41" s="2" t="s">
        <v>113</v>
      </c>
      <c r="F41" s="2" t="s">
        <v>113</v>
      </c>
      <c r="G41" s="2" t="s">
        <v>492</v>
      </c>
      <c r="H41" s="2" t="s">
        <v>493</v>
      </c>
      <c r="I41" s="2" t="s">
        <v>494</v>
      </c>
      <c r="J41" s="2" t="s">
        <v>495</v>
      </c>
      <c r="K41" s="14">
        <f>IFERROR(AVERAGEIF(Link_Project_Req!$B$2:$B$68,$A41,Link_Project_Req!$C$2:$C$68),0)</f>
        <v>0.44999999999999996</v>
      </c>
      <c r="L41" t="str">
        <f t="shared" si="0"/>
        <v>قيد التنفيذ</v>
      </c>
      <c r="M41" s="2" t="s">
        <v>118</v>
      </c>
      <c r="N41" s="2" t="s">
        <v>284</v>
      </c>
      <c r="O41" s="3">
        <v>46056</v>
      </c>
    </row>
    <row r="42" spans="1:15" ht="28.8" customHeight="1" x14ac:dyDescent="0.3">
      <c r="A42" s="2" t="s">
        <v>44</v>
      </c>
      <c r="B42" s="2" t="s">
        <v>45</v>
      </c>
      <c r="C42" s="2" t="s">
        <v>100</v>
      </c>
      <c r="D42" s="2" t="s">
        <v>110</v>
      </c>
      <c r="E42" s="2" t="s">
        <v>112</v>
      </c>
      <c r="F42" s="2" t="s">
        <v>113</v>
      </c>
      <c r="G42" s="2" t="s">
        <v>496</v>
      </c>
      <c r="H42" s="2" t="s">
        <v>137</v>
      </c>
      <c r="I42" s="2" t="s">
        <v>497</v>
      </c>
      <c r="J42" s="2" t="s">
        <v>69</v>
      </c>
      <c r="K42" s="14">
        <f>IFERROR(AVERAGEIF(Link_Project_Req!$B$2:$B$68,$A42,Link_Project_Req!$C$2:$C$68),0)</f>
        <v>0</v>
      </c>
      <c r="L42" t="str">
        <f t="shared" si="0"/>
        <v>لم يبدأ</v>
      </c>
      <c r="M42" s="2" t="s">
        <v>109</v>
      </c>
      <c r="N42" s="2" t="s">
        <v>284</v>
      </c>
      <c r="O42" s="3">
        <v>46056</v>
      </c>
    </row>
    <row r="43" spans="1:15" ht="43.2" customHeight="1" x14ac:dyDescent="0.3">
      <c r="A43" s="2" t="s">
        <v>46</v>
      </c>
      <c r="B43" s="2" t="s">
        <v>47</v>
      </c>
      <c r="C43" s="2" t="s">
        <v>100</v>
      </c>
      <c r="D43" s="2" t="s">
        <v>110</v>
      </c>
      <c r="E43" s="2" t="s">
        <v>112</v>
      </c>
      <c r="F43" s="2" t="s">
        <v>122</v>
      </c>
      <c r="G43" s="2" t="s">
        <v>498</v>
      </c>
      <c r="H43" s="2" t="s">
        <v>343</v>
      </c>
      <c r="I43" s="2" t="s">
        <v>499</v>
      </c>
      <c r="J43" s="2" t="s">
        <v>239</v>
      </c>
      <c r="K43" s="14">
        <f>IFERROR(AVERAGEIF(Link_Project_Req!$B$2:$B$68,$A43,Link_Project_Req!$C$2:$C$68),0)</f>
        <v>0</v>
      </c>
      <c r="L43" t="str">
        <f t="shared" si="0"/>
        <v>لم يبدأ</v>
      </c>
      <c r="M43" s="2" t="s">
        <v>118</v>
      </c>
      <c r="N43" s="2" t="s">
        <v>284</v>
      </c>
      <c r="O43" s="3">
        <v>46056</v>
      </c>
    </row>
    <row r="44" spans="1:15" ht="43.2" customHeight="1" x14ac:dyDescent="0.3">
      <c r="A44" s="2" t="s">
        <v>500</v>
      </c>
      <c r="B44" s="2" t="s">
        <v>501</v>
      </c>
      <c r="C44" s="2" t="s">
        <v>100</v>
      </c>
      <c r="D44" s="2" t="s">
        <v>110</v>
      </c>
      <c r="E44" s="2" t="s">
        <v>112</v>
      </c>
      <c r="F44" s="2" t="s">
        <v>113</v>
      </c>
      <c r="G44" s="2" t="s">
        <v>502</v>
      </c>
      <c r="H44" s="2" t="s">
        <v>404</v>
      </c>
      <c r="I44" s="2" t="s">
        <v>503</v>
      </c>
      <c r="J44" s="2" t="s">
        <v>504</v>
      </c>
      <c r="K44" s="14">
        <f>IFERROR(AVERAGEIF(Link_Project_Req!$B$2:$B$68,$A44,Link_Project_Req!$C$2:$C$68),0)</f>
        <v>0.44999999999999996</v>
      </c>
      <c r="L44" t="str">
        <f t="shared" si="0"/>
        <v>قيد التنفيذ</v>
      </c>
      <c r="M44" s="2" t="s">
        <v>118</v>
      </c>
      <c r="N44" s="2" t="s">
        <v>119</v>
      </c>
      <c r="O44" s="3">
        <v>46056</v>
      </c>
    </row>
    <row r="45" spans="1:15" ht="28.8" customHeight="1" x14ac:dyDescent="0.3">
      <c r="A45" s="2" t="s">
        <v>505</v>
      </c>
      <c r="B45" s="2" t="s">
        <v>506</v>
      </c>
      <c r="C45" s="2" t="s">
        <v>100</v>
      </c>
      <c r="D45" s="2" t="s">
        <v>110</v>
      </c>
      <c r="E45" s="2" t="s">
        <v>112</v>
      </c>
      <c r="F45" s="2" t="s">
        <v>113</v>
      </c>
      <c r="G45" s="2" t="s">
        <v>507</v>
      </c>
      <c r="H45" s="2" t="s">
        <v>404</v>
      </c>
      <c r="I45" s="2" t="s">
        <v>165</v>
      </c>
      <c r="J45" s="2" t="s">
        <v>70</v>
      </c>
      <c r="K45" s="14">
        <f>IFERROR(AVERAGEIF(Link_Project_Req!$B$2:$B$68,$A45,Link_Project_Req!$C$2:$C$68),0)</f>
        <v>0.7</v>
      </c>
      <c r="L45" t="str">
        <f t="shared" si="0"/>
        <v>قيد التنفيذ</v>
      </c>
      <c r="M45" s="2" t="s">
        <v>118</v>
      </c>
      <c r="N45" s="2" t="s">
        <v>284</v>
      </c>
      <c r="O45" s="3">
        <v>46056</v>
      </c>
    </row>
    <row r="46" spans="1:15" ht="28.8" customHeight="1" x14ac:dyDescent="0.3">
      <c r="A46" s="2" t="s">
        <v>508</v>
      </c>
      <c r="B46" s="2" t="s">
        <v>509</v>
      </c>
      <c r="C46" s="2" t="s">
        <v>100</v>
      </c>
      <c r="D46" s="2" t="s">
        <v>110</v>
      </c>
      <c r="E46" s="2" t="s">
        <v>113</v>
      </c>
      <c r="F46" s="2" t="s">
        <v>113</v>
      </c>
      <c r="G46" s="2" t="s">
        <v>510</v>
      </c>
      <c r="H46" s="2" t="s">
        <v>338</v>
      </c>
      <c r="I46" s="2" t="s">
        <v>511</v>
      </c>
      <c r="J46" s="2" t="s">
        <v>67</v>
      </c>
      <c r="K46" s="14">
        <f>IFERROR(AVERAGEIF(Link_Project_Req!$B$2:$B$68,$A46,Link_Project_Req!$C$2:$C$68),0)</f>
        <v>0.75</v>
      </c>
      <c r="L46" t="str">
        <f t="shared" si="0"/>
        <v>قيد التنفيذ</v>
      </c>
      <c r="M46" s="2" t="s">
        <v>109</v>
      </c>
      <c r="N46" s="2" t="s">
        <v>119</v>
      </c>
      <c r="O46" s="3">
        <v>46056</v>
      </c>
    </row>
    <row r="47" spans="1:15" ht="28.8" customHeight="1" x14ac:dyDescent="0.3">
      <c r="A47" s="2" t="s">
        <v>512</v>
      </c>
      <c r="B47" s="2" t="s">
        <v>513</v>
      </c>
      <c r="C47" s="2" t="s">
        <v>100</v>
      </c>
      <c r="D47" s="2" t="s">
        <v>110</v>
      </c>
      <c r="E47" s="2" t="s">
        <v>113</v>
      </c>
      <c r="F47" s="2" t="s">
        <v>113</v>
      </c>
      <c r="G47" s="2" t="s">
        <v>514</v>
      </c>
      <c r="H47" s="2" t="s">
        <v>338</v>
      </c>
      <c r="I47" s="2" t="s">
        <v>515</v>
      </c>
      <c r="J47" s="2" t="s">
        <v>72</v>
      </c>
      <c r="K47" s="14">
        <f>IFERROR(AVERAGEIF(Link_Project_Req!$B$2:$B$68,$A47,Link_Project_Req!$C$2:$C$68),0)</f>
        <v>0.45</v>
      </c>
      <c r="L47" t="str">
        <f t="shared" si="0"/>
        <v>قيد التنفيذ</v>
      </c>
      <c r="M47" s="2" t="s">
        <v>109</v>
      </c>
      <c r="N47" s="2" t="s">
        <v>284</v>
      </c>
      <c r="O47" s="3">
        <v>46056</v>
      </c>
    </row>
    <row r="48" spans="1:15" x14ac:dyDescent="0.3">
      <c r="B48" s="9"/>
      <c r="I48" s="9"/>
      <c r="J48" s="9"/>
      <c r="O48" s="5"/>
    </row>
    <row r="49" spans="2:15" x14ac:dyDescent="0.3">
      <c r="B49" s="9"/>
      <c r="I49" s="9"/>
      <c r="J49" s="9"/>
      <c r="O49" s="5"/>
    </row>
    <row r="50" spans="2:15" x14ac:dyDescent="0.3">
      <c r="B50" s="9"/>
      <c r="I50" s="9"/>
      <c r="J50" s="9"/>
      <c r="O50" s="5"/>
    </row>
    <row r="51" spans="2:15" x14ac:dyDescent="0.3">
      <c r="B51" s="9"/>
      <c r="I51" s="9"/>
      <c r="J51" s="9"/>
      <c r="O51" s="5"/>
    </row>
    <row r="52" spans="2:15" x14ac:dyDescent="0.3">
      <c r="B52" s="9"/>
      <c r="I52" s="9"/>
      <c r="J52" s="9"/>
      <c r="O52" s="5"/>
    </row>
    <row r="53" spans="2:15" x14ac:dyDescent="0.3">
      <c r="B53" s="9"/>
      <c r="I53" s="9"/>
      <c r="J53" s="9"/>
      <c r="O53" s="5"/>
    </row>
    <row r="54" spans="2:15" x14ac:dyDescent="0.3">
      <c r="B54" s="9"/>
      <c r="I54" s="9"/>
      <c r="J54" s="9"/>
      <c r="O54" s="5"/>
    </row>
    <row r="55" spans="2:15" x14ac:dyDescent="0.3">
      <c r="B55" s="9"/>
      <c r="I55" s="9"/>
      <c r="J55" s="9"/>
      <c r="O55" s="5"/>
    </row>
    <row r="56" spans="2:15" x14ac:dyDescent="0.3">
      <c r="B56" s="9"/>
      <c r="I56" s="9"/>
      <c r="J56" s="9"/>
      <c r="O56" s="5"/>
    </row>
    <row r="57" spans="2:15" x14ac:dyDescent="0.3">
      <c r="B57" s="9"/>
      <c r="I57" s="9"/>
      <c r="J57" s="9"/>
      <c r="O57" s="5"/>
    </row>
    <row r="58" spans="2:15" x14ac:dyDescent="0.3">
      <c r="B58" s="9"/>
      <c r="I58" s="9"/>
      <c r="J58" s="9"/>
      <c r="O58" s="5"/>
    </row>
    <row r="59" spans="2:15" x14ac:dyDescent="0.3">
      <c r="B59" s="9"/>
      <c r="I59" s="9"/>
      <c r="J59" s="9"/>
      <c r="O59" s="5"/>
    </row>
    <row r="60" spans="2:15" x14ac:dyDescent="0.3">
      <c r="B60" s="9"/>
      <c r="I60" s="9"/>
      <c r="J60" s="9"/>
      <c r="O60" s="5"/>
    </row>
    <row r="61" spans="2:15" x14ac:dyDescent="0.3">
      <c r="B61" s="9"/>
      <c r="I61" s="9"/>
      <c r="J61" s="9"/>
      <c r="O61" s="5"/>
    </row>
    <row r="62" spans="2:15" x14ac:dyDescent="0.3">
      <c r="B62" s="9"/>
      <c r="I62" s="9"/>
      <c r="J62" s="9"/>
      <c r="O62" s="5"/>
    </row>
    <row r="63" spans="2:15" x14ac:dyDescent="0.3">
      <c r="B63" s="9"/>
      <c r="I63" s="9"/>
      <c r="J63" s="9"/>
      <c r="O63" s="5"/>
    </row>
    <row r="64" spans="2:15" x14ac:dyDescent="0.3">
      <c r="B64" s="9"/>
      <c r="I64" s="9"/>
      <c r="J64" s="9"/>
      <c r="O64" s="5"/>
    </row>
    <row r="65" spans="2:15" x14ac:dyDescent="0.3">
      <c r="B65" s="9"/>
      <c r="I65" s="9"/>
      <c r="J65" s="9"/>
      <c r="O65" s="5"/>
    </row>
    <row r="66" spans="2:15" x14ac:dyDescent="0.3">
      <c r="B66" s="9"/>
      <c r="I66" s="9"/>
      <c r="J66" s="9"/>
      <c r="O66" s="5"/>
    </row>
    <row r="67" spans="2:15" x14ac:dyDescent="0.3">
      <c r="B67" s="9"/>
      <c r="I67" s="9"/>
      <c r="J67" s="9"/>
      <c r="O67" s="5"/>
    </row>
    <row r="68" spans="2:15" x14ac:dyDescent="0.3">
      <c r="B68" s="9"/>
      <c r="I68" s="9"/>
      <c r="J68" s="9"/>
      <c r="O68" s="5"/>
    </row>
    <row r="69" spans="2:15" x14ac:dyDescent="0.3">
      <c r="B69" s="9"/>
      <c r="I69" s="9"/>
      <c r="J69" s="9"/>
      <c r="O69" s="5"/>
    </row>
    <row r="70" spans="2:15" x14ac:dyDescent="0.3">
      <c r="B70" s="9"/>
      <c r="I70" s="9"/>
      <c r="J70" s="9"/>
      <c r="O70" s="5"/>
    </row>
    <row r="71" spans="2:15" x14ac:dyDescent="0.3">
      <c r="B71" s="9"/>
      <c r="I71" s="9"/>
      <c r="J71" s="9"/>
      <c r="O71" s="5"/>
    </row>
    <row r="72" spans="2:15" x14ac:dyDescent="0.3">
      <c r="B72" s="9"/>
      <c r="I72" s="9"/>
      <c r="J72" s="9"/>
      <c r="O72" s="5"/>
    </row>
    <row r="73" spans="2:15" x14ac:dyDescent="0.3">
      <c r="B73" s="9"/>
      <c r="I73" s="9"/>
      <c r="J73" s="9"/>
      <c r="O73" s="5"/>
    </row>
    <row r="74" spans="2:15" x14ac:dyDescent="0.3">
      <c r="B74" s="9"/>
      <c r="I74" s="9"/>
      <c r="J74" s="9"/>
      <c r="O74" s="5"/>
    </row>
    <row r="75" spans="2:15" x14ac:dyDescent="0.3">
      <c r="B75" s="9"/>
      <c r="I75" s="9"/>
      <c r="J75" s="9"/>
      <c r="O75" s="5"/>
    </row>
    <row r="76" spans="2:15" x14ac:dyDescent="0.3">
      <c r="B76" s="9"/>
      <c r="I76" s="9"/>
      <c r="J76" s="9"/>
      <c r="O76" s="5"/>
    </row>
    <row r="77" spans="2:15" x14ac:dyDescent="0.3">
      <c r="B77" s="9"/>
      <c r="I77" s="9"/>
      <c r="J77" s="9"/>
      <c r="O77" s="5"/>
    </row>
    <row r="78" spans="2:15" x14ac:dyDescent="0.3">
      <c r="B78" s="9"/>
      <c r="I78" s="9"/>
      <c r="J78" s="9"/>
      <c r="O78" s="5"/>
    </row>
    <row r="79" spans="2:15" x14ac:dyDescent="0.3">
      <c r="B79" s="9"/>
      <c r="I79" s="9"/>
      <c r="J79" s="9"/>
      <c r="O79" s="5"/>
    </row>
    <row r="80" spans="2:15" x14ac:dyDescent="0.3">
      <c r="B80" s="9"/>
      <c r="I80" s="9"/>
      <c r="J80" s="9"/>
      <c r="O80" s="5"/>
    </row>
    <row r="81" spans="2:15" x14ac:dyDescent="0.3">
      <c r="B81" s="9"/>
      <c r="I81" s="9"/>
      <c r="J81" s="9"/>
      <c r="O81" s="5"/>
    </row>
    <row r="82" spans="2:15" x14ac:dyDescent="0.3">
      <c r="B82" s="9"/>
      <c r="I82" s="9"/>
      <c r="J82" s="9"/>
      <c r="O82" s="5"/>
    </row>
    <row r="83" spans="2:15" x14ac:dyDescent="0.3">
      <c r="B83" s="9"/>
      <c r="I83" s="9"/>
      <c r="J83" s="9"/>
      <c r="O83" s="5"/>
    </row>
    <row r="84" spans="2:15" x14ac:dyDescent="0.3">
      <c r="B84" s="9"/>
      <c r="I84" s="9"/>
      <c r="J84" s="9"/>
      <c r="O84" s="5"/>
    </row>
    <row r="85" spans="2:15" x14ac:dyDescent="0.3">
      <c r="B85" s="9"/>
      <c r="I85" s="9"/>
      <c r="J85" s="9"/>
      <c r="O85" s="5"/>
    </row>
    <row r="86" spans="2:15" x14ac:dyDescent="0.3">
      <c r="B86" s="9"/>
      <c r="I86" s="9"/>
      <c r="J86" s="9"/>
      <c r="O86" s="5"/>
    </row>
    <row r="87" spans="2:15" x14ac:dyDescent="0.3">
      <c r="B87" s="9"/>
      <c r="I87" s="9"/>
      <c r="J87" s="9"/>
      <c r="O87" s="5"/>
    </row>
    <row r="88" spans="2:15" x14ac:dyDescent="0.3">
      <c r="B88" s="9"/>
      <c r="I88" s="9"/>
      <c r="J88" s="9"/>
      <c r="O88" s="5"/>
    </row>
    <row r="89" spans="2:15" x14ac:dyDescent="0.3">
      <c r="B89" s="9"/>
      <c r="I89" s="9"/>
      <c r="J89" s="9"/>
      <c r="O89" s="5"/>
    </row>
    <row r="90" spans="2:15" x14ac:dyDescent="0.3">
      <c r="B90" s="9"/>
      <c r="I90" s="9"/>
      <c r="J90" s="9"/>
      <c r="O90" s="5"/>
    </row>
    <row r="91" spans="2:15" x14ac:dyDescent="0.3">
      <c r="B91" s="9"/>
      <c r="I91" s="9"/>
      <c r="J91" s="9"/>
      <c r="O91" s="5"/>
    </row>
    <row r="92" spans="2:15" x14ac:dyDescent="0.3">
      <c r="B92" s="9"/>
      <c r="I92" s="9"/>
      <c r="J92" s="9"/>
      <c r="O92" s="5"/>
    </row>
    <row r="93" spans="2:15" x14ac:dyDescent="0.3">
      <c r="B93" s="9"/>
      <c r="I93" s="9"/>
      <c r="J93" s="9"/>
      <c r="O93" s="5"/>
    </row>
    <row r="94" spans="2:15" x14ac:dyDescent="0.3">
      <c r="B94" s="9"/>
      <c r="I94" s="9"/>
      <c r="J94" s="9"/>
      <c r="O94" s="5"/>
    </row>
    <row r="95" spans="2:15" x14ac:dyDescent="0.3">
      <c r="B95" s="9"/>
      <c r="I95" s="9"/>
      <c r="J95" s="9"/>
      <c r="O95" s="5"/>
    </row>
    <row r="96" spans="2:15" x14ac:dyDescent="0.3">
      <c r="B96" s="9"/>
      <c r="I96" s="9"/>
      <c r="J96" s="9"/>
      <c r="O96" s="5"/>
    </row>
    <row r="97" spans="2:15" x14ac:dyDescent="0.3">
      <c r="B97" s="9"/>
      <c r="I97" s="9"/>
      <c r="J97" s="9"/>
      <c r="O97" s="5"/>
    </row>
    <row r="98" spans="2:15" x14ac:dyDescent="0.3">
      <c r="B98" s="9"/>
      <c r="I98" s="9"/>
      <c r="J98" s="9"/>
      <c r="O98" s="5"/>
    </row>
    <row r="99" spans="2:15" x14ac:dyDescent="0.3">
      <c r="B99" s="9"/>
      <c r="I99" s="9"/>
      <c r="J99" s="9"/>
      <c r="O99" s="5"/>
    </row>
    <row r="100" spans="2:15" x14ac:dyDescent="0.3">
      <c r="B100" s="9"/>
      <c r="I100" s="9"/>
      <c r="J100" s="9"/>
      <c r="O100" s="5"/>
    </row>
    <row r="101" spans="2:15" x14ac:dyDescent="0.3">
      <c r="B101" s="9"/>
      <c r="I101" s="9"/>
      <c r="J101" s="9"/>
      <c r="O101" s="5"/>
    </row>
    <row r="102" spans="2:15" x14ac:dyDescent="0.3">
      <c r="B102" s="9"/>
      <c r="I102" s="9"/>
      <c r="J102" s="9"/>
      <c r="O102" s="5"/>
    </row>
    <row r="103" spans="2:15" x14ac:dyDescent="0.3">
      <c r="B103" s="9"/>
      <c r="I103" s="9"/>
      <c r="J103" s="9"/>
      <c r="O103" s="5"/>
    </row>
    <row r="104" spans="2:15" x14ac:dyDescent="0.3">
      <c r="B104" s="9"/>
      <c r="I104" s="9"/>
      <c r="J104" s="9"/>
      <c r="O104" s="5"/>
    </row>
    <row r="105" spans="2:15" x14ac:dyDescent="0.3">
      <c r="B105" s="9"/>
      <c r="I105" s="9"/>
      <c r="J105" s="9"/>
      <c r="O105" s="5"/>
    </row>
    <row r="106" spans="2:15" x14ac:dyDescent="0.3">
      <c r="B106" s="9"/>
      <c r="I106" s="9"/>
      <c r="J106" s="9"/>
      <c r="O106" s="5"/>
    </row>
    <row r="107" spans="2:15" x14ac:dyDescent="0.3">
      <c r="B107" s="9"/>
      <c r="I107" s="9"/>
      <c r="J107" s="9"/>
      <c r="O107" s="5"/>
    </row>
    <row r="108" spans="2:15" x14ac:dyDescent="0.3">
      <c r="B108" s="9"/>
      <c r="I108" s="9"/>
      <c r="J108" s="9"/>
      <c r="O108" s="5"/>
    </row>
    <row r="109" spans="2:15" x14ac:dyDescent="0.3">
      <c r="B109" s="9"/>
      <c r="I109" s="9"/>
      <c r="J109" s="9"/>
      <c r="O109" s="5"/>
    </row>
    <row r="110" spans="2:15" x14ac:dyDescent="0.3">
      <c r="B110" s="9"/>
      <c r="I110" s="9"/>
      <c r="J110" s="9"/>
      <c r="O110" s="5"/>
    </row>
    <row r="111" spans="2:15" x14ac:dyDescent="0.3">
      <c r="B111" s="9"/>
      <c r="I111" s="9"/>
      <c r="J111" s="9"/>
      <c r="O111" s="5"/>
    </row>
    <row r="112" spans="2:15" x14ac:dyDescent="0.3">
      <c r="B112" s="9"/>
      <c r="I112" s="9"/>
      <c r="J112" s="9"/>
      <c r="O112" s="5"/>
    </row>
    <row r="113" spans="2:15" x14ac:dyDescent="0.3">
      <c r="B113" s="9"/>
      <c r="I113" s="9"/>
      <c r="J113" s="9"/>
      <c r="O113" s="5"/>
    </row>
    <row r="114" spans="2:15" x14ac:dyDescent="0.3">
      <c r="B114" s="9"/>
      <c r="I114" s="9"/>
      <c r="J114" s="9"/>
      <c r="O114" s="5"/>
    </row>
    <row r="115" spans="2:15" x14ac:dyDescent="0.3">
      <c r="B115" s="9"/>
      <c r="I115" s="9"/>
      <c r="J115" s="9"/>
      <c r="O115" s="5"/>
    </row>
    <row r="116" spans="2:15" x14ac:dyDescent="0.3">
      <c r="B116" s="9"/>
      <c r="I116" s="9"/>
      <c r="J116" s="9"/>
      <c r="O116" s="5"/>
    </row>
    <row r="117" spans="2:15" x14ac:dyDescent="0.3">
      <c r="B117" s="9"/>
      <c r="I117" s="9"/>
      <c r="J117" s="9"/>
      <c r="O117" s="5"/>
    </row>
    <row r="118" spans="2:15" x14ac:dyDescent="0.3">
      <c r="B118" s="9"/>
      <c r="I118" s="9"/>
      <c r="J118" s="9"/>
      <c r="O118" s="5"/>
    </row>
    <row r="119" spans="2:15" x14ac:dyDescent="0.3">
      <c r="B119" s="9"/>
      <c r="I119" s="9"/>
      <c r="J119" s="9"/>
      <c r="O119" s="5"/>
    </row>
    <row r="120" spans="2:15" x14ac:dyDescent="0.3">
      <c r="B120" s="9"/>
      <c r="I120" s="9"/>
      <c r="J120" s="9"/>
      <c r="O120" s="5"/>
    </row>
    <row r="121" spans="2:15" x14ac:dyDescent="0.3">
      <c r="B121" s="9"/>
      <c r="I121" s="9"/>
      <c r="J121" s="9"/>
      <c r="O121" s="5"/>
    </row>
    <row r="122" spans="2:15" x14ac:dyDescent="0.3">
      <c r="B122" s="9"/>
      <c r="I122" s="9"/>
      <c r="J122" s="9"/>
      <c r="O122" s="5"/>
    </row>
    <row r="123" spans="2:15" x14ac:dyDescent="0.3">
      <c r="B123" s="9"/>
      <c r="I123" s="9"/>
      <c r="J123" s="9"/>
      <c r="O123" s="5"/>
    </row>
    <row r="124" spans="2:15" x14ac:dyDescent="0.3">
      <c r="B124" s="9"/>
      <c r="I124" s="9"/>
      <c r="J124" s="9"/>
      <c r="O124" s="5"/>
    </row>
    <row r="125" spans="2:15" x14ac:dyDescent="0.3">
      <c r="B125" s="9"/>
      <c r="I125" s="9"/>
      <c r="J125" s="9"/>
      <c r="O125" s="5"/>
    </row>
    <row r="126" spans="2:15" x14ac:dyDescent="0.3">
      <c r="B126" s="9"/>
      <c r="I126" s="9"/>
      <c r="J126" s="9"/>
      <c r="O126" s="5"/>
    </row>
    <row r="127" spans="2:15" x14ac:dyDescent="0.3">
      <c r="B127" s="9"/>
      <c r="I127" s="9"/>
      <c r="J127" s="9"/>
      <c r="O127" s="5"/>
    </row>
    <row r="128" spans="2:15" x14ac:dyDescent="0.3">
      <c r="B128" s="9"/>
      <c r="I128" s="9"/>
      <c r="J128" s="9"/>
      <c r="O128" s="5"/>
    </row>
    <row r="129" spans="2:15" x14ac:dyDescent="0.3">
      <c r="B129" s="9"/>
      <c r="I129" s="9"/>
      <c r="J129" s="9"/>
      <c r="O129" s="5"/>
    </row>
    <row r="130" spans="2:15" x14ac:dyDescent="0.3">
      <c r="B130" s="9"/>
      <c r="I130" s="9"/>
      <c r="J130" s="9"/>
      <c r="O130" s="5"/>
    </row>
    <row r="131" spans="2:15" x14ac:dyDescent="0.3">
      <c r="B131" s="9"/>
      <c r="I131" s="9"/>
      <c r="J131" s="9"/>
      <c r="O131" s="5"/>
    </row>
    <row r="132" spans="2:15" x14ac:dyDescent="0.3">
      <c r="B132" s="9"/>
      <c r="I132" s="9"/>
      <c r="J132" s="9"/>
      <c r="O132" s="5"/>
    </row>
    <row r="133" spans="2:15" x14ac:dyDescent="0.3">
      <c r="B133" s="9"/>
      <c r="I133" s="9"/>
      <c r="J133" s="9"/>
      <c r="O133" s="5"/>
    </row>
    <row r="134" spans="2:15" x14ac:dyDescent="0.3">
      <c r="B134" s="9"/>
      <c r="I134" s="9"/>
      <c r="J134" s="9"/>
      <c r="O134" s="5"/>
    </row>
    <row r="135" spans="2:15" x14ac:dyDescent="0.3">
      <c r="B135" s="9"/>
      <c r="I135" s="9"/>
      <c r="J135" s="9"/>
      <c r="O135" s="5"/>
    </row>
    <row r="136" spans="2:15" x14ac:dyDescent="0.3">
      <c r="B136" s="9"/>
      <c r="I136" s="9"/>
      <c r="J136" s="9"/>
      <c r="O136" s="5"/>
    </row>
    <row r="137" spans="2:15" x14ac:dyDescent="0.3">
      <c r="B137" s="9"/>
      <c r="I137" s="9"/>
      <c r="J137" s="9"/>
      <c r="O137" s="5"/>
    </row>
    <row r="138" spans="2:15" x14ac:dyDescent="0.3">
      <c r="B138" s="9"/>
      <c r="I138" s="9"/>
      <c r="J138" s="9"/>
      <c r="O138" s="5"/>
    </row>
    <row r="139" spans="2:15" x14ac:dyDescent="0.3">
      <c r="B139" s="9"/>
      <c r="I139" s="9"/>
      <c r="J139" s="9"/>
      <c r="O139" s="5"/>
    </row>
    <row r="140" spans="2:15" x14ac:dyDescent="0.3">
      <c r="B140" s="9"/>
      <c r="I140" s="9"/>
      <c r="J140" s="9"/>
      <c r="O140" s="5"/>
    </row>
    <row r="141" spans="2:15" x14ac:dyDescent="0.3">
      <c r="B141" s="9"/>
      <c r="I141" s="9"/>
      <c r="J141" s="9"/>
      <c r="O141" s="5"/>
    </row>
    <row r="142" spans="2:15" x14ac:dyDescent="0.3">
      <c r="B142" s="9"/>
      <c r="I142" s="9"/>
      <c r="J142" s="9"/>
      <c r="O142" s="5"/>
    </row>
    <row r="143" spans="2:15" x14ac:dyDescent="0.3">
      <c r="B143" s="9"/>
      <c r="I143" s="9"/>
      <c r="J143" s="9"/>
      <c r="O143" s="5"/>
    </row>
    <row r="144" spans="2:15" x14ac:dyDescent="0.3">
      <c r="B144" s="9"/>
      <c r="I144" s="9"/>
      <c r="J144" s="9"/>
      <c r="O144" s="5"/>
    </row>
    <row r="145" spans="2:15" x14ac:dyDescent="0.3">
      <c r="B145" s="9"/>
      <c r="I145" s="9"/>
      <c r="J145" s="9"/>
      <c r="O145" s="5"/>
    </row>
    <row r="146" spans="2:15" x14ac:dyDescent="0.3">
      <c r="B146" s="9"/>
      <c r="I146" s="9"/>
      <c r="J146" s="9"/>
      <c r="O146" s="5"/>
    </row>
    <row r="147" spans="2:15" x14ac:dyDescent="0.3">
      <c r="B147" s="9"/>
      <c r="I147" s="9"/>
      <c r="J147" s="9"/>
      <c r="O147" s="5"/>
    </row>
    <row r="148" spans="2:15" x14ac:dyDescent="0.3">
      <c r="B148" s="9"/>
      <c r="I148" s="9"/>
      <c r="J148" s="9"/>
      <c r="O148" s="5"/>
    </row>
    <row r="149" spans="2:15" x14ac:dyDescent="0.3">
      <c r="B149" s="9"/>
      <c r="I149" s="9"/>
      <c r="J149" s="9"/>
      <c r="O149" s="5"/>
    </row>
    <row r="150" spans="2:15" x14ac:dyDescent="0.3">
      <c r="B150" s="9"/>
      <c r="I150" s="9"/>
      <c r="J150" s="9"/>
      <c r="O150" s="5"/>
    </row>
    <row r="151" spans="2:15" x14ac:dyDescent="0.3">
      <c r="B151" s="9"/>
      <c r="I151" s="9"/>
      <c r="J151" s="9"/>
      <c r="O151" s="5"/>
    </row>
    <row r="152" spans="2:15" x14ac:dyDescent="0.3">
      <c r="B152" s="9"/>
      <c r="I152" s="9"/>
      <c r="J152" s="9"/>
      <c r="O152" s="5"/>
    </row>
    <row r="153" spans="2:15" x14ac:dyDescent="0.3">
      <c r="B153" s="9"/>
      <c r="I153" s="9"/>
      <c r="J153" s="9"/>
      <c r="O153" s="5"/>
    </row>
    <row r="154" spans="2:15" x14ac:dyDescent="0.3">
      <c r="B154" s="9"/>
      <c r="I154" s="9"/>
      <c r="J154" s="9"/>
      <c r="O154" s="5"/>
    </row>
    <row r="155" spans="2:15" x14ac:dyDescent="0.3">
      <c r="B155" s="9"/>
      <c r="I155" s="9"/>
      <c r="J155" s="9"/>
      <c r="O155" s="5"/>
    </row>
    <row r="156" spans="2:15" x14ac:dyDescent="0.3">
      <c r="B156" s="9"/>
      <c r="I156" s="9"/>
      <c r="J156" s="9"/>
      <c r="O156" s="5"/>
    </row>
    <row r="157" spans="2:15" x14ac:dyDescent="0.3">
      <c r="B157" s="9"/>
      <c r="I157" s="9"/>
      <c r="J157" s="9"/>
      <c r="O157" s="5"/>
    </row>
    <row r="158" spans="2:15" x14ac:dyDescent="0.3">
      <c r="B158" s="9"/>
      <c r="I158" s="9"/>
      <c r="J158" s="9"/>
      <c r="O158" s="5"/>
    </row>
    <row r="159" spans="2:15" x14ac:dyDescent="0.3">
      <c r="B159" s="9"/>
      <c r="I159" s="9"/>
      <c r="J159" s="9"/>
      <c r="O159" s="5"/>
    </row>
    <row r="160" spans="2:15" x14ac:dyDescent="0.3">
      <c r="B160" s="9"/>
      <c r="I160" s="9"/>
      <c r="J160" s="9"/>
      <c r="O160" s="5"/>
    </row>
    <row r="161" spans="2:15" x14ac:dyDescent="0.3">
      <c r="B161" s="9"/>
      <c r="I161" s="9"/>
      <c r="J161" s="9"/>
      <c r="O161" s="5"/>
    </row>
    <row r="162" spans="2:15" x14ac:dyDescent="0.3">
      <c r="B162" s="9"/>
      <c r="I162" s="9"/>
      <c r="J162" s="9"/>
      <c r="O162" s="5"/>
    </row>
    <row r="163" spans="2:15" x14ac:dyDescent="0.3">
      <c r="B163" s="9"/>
      <c r="I163" s="9"/>
      <c r="J163" s="9"/>
      <c r="O163" s="5"/>
    </row>
    <row r="164" spans="2:15" x14ac:dyDescent="0.3">
      <c r="B164" s="9"/>
      <c r="I164" s="9"/>
      <c r="J164" s="9"/>
      <c r="O164" s="5"/>
    </row>
    <row r="165" spans="2:15" x14ac:dyDescent="0.3">
      <c r="B165" s="9"/>
      <c r="I165" s="9"/>
      <c r="J165" s="9"/>
      <c r="O165" s="5"/>
    </row>
    <row r="166" spans="2:15" x14ac:dyDescent="0.3">
      <c r="B166" s="9"/>
      <c r="I166" s="9"/>
      <c r="J166" s="9"/>
      <c r="O166" s="5"/>
    </row>
    <row r="167" spans="2:15" x14ac:dyDescent="0.3">
      <c r="B167" s="9"/>
      <c r="I167" s="9"/>
      <c r="J167" s="9"/>
      <c r="O167" s="5"/>
    </row>
    <row r="168" spans="2:15" x14ac:dyDescent="0.3">
      <c r="B168" s="9"/>
      <c r="I168" s="9"/>
      <c r="J168" s="9"/>
      <c r="O168" s="5"/>
    </row>
    <row r="169" spans="2:15" x14ac:dyDescent="0.3">
      <c r="B169" s="9"/>
      <c r="I169" s="9"/>
      <c r="J169" s="9"/>
      <c r="O169" s="5"/>
    </row>
    <row r="170" spans="2:15" x14ac:dyDescent="0.3">
      <c r="B170" s="9"/>
      <c r="I170" s="9"/>
      <c r="J170" s="9"/>
      <c r="O170" s="5"/>
    </row>
    <row r="171" spans="2:15" x14ac:dyDescent="0.3">
      <c r="B171" s="9"/>
      <c r="I171" s="9"/>
      <c r="J171" s="9"/>
      <c r="O171" s="5"/>
    </row>
    <row r="172" spans="2:15" x14ac:dyDescent="0.3">
      <c r="B172" s="9"/>
      <c r="I172" s="9"/>
      <c r="J172" s="9"/>
      <c r="O172" s="5"/>
    </row>
    <row r="173" spans="2:15" x14ac:dyDescent="0.3">
      <c r="B173" s="9"/>
      <c r="I173" s="9"/>
      <c r="J173" s="9"/>
      <c r="O173" s="5"/>
    </row>
    <row r="174" spans="2:15" x14ac:dyDescent="0.3">
      <c r="B174" s="9"/>
      <c r="I174" s="9"/>
      <c r="J174" s="9"/>
      <c r="O174" s="5"/>
    </row>
    <row r="175" spans="2:15" x14ac:dyDescent="0.3">
      <c r="B175" s="9"/>
      <c r="I175" s="9"/>
      <c r="J175" s="9"/>
      <c r="O175" s="5"/>
    </row>
    <row r="176" spans="2:15" x14ac:dyDescent="0.3">
      <c r="B176" s="9"/>
      <c r="I176" s="9"/>
      <c r="J176" s="9"/>
      <c r="O176" s="5"/>
    </row>
    <row r="177" spans="2:15" x14ac:dyDescent="0.3">
      <c r="B177" s="9"/>
      <c r="I177" s="9"/>
      <c r="J177" s="9"/>
      <c r="O177" s="5"/>
    </row>
    <row r="178" spans="2:15" x14ac:dyDescent="0.3">
      <c r="B178" s="9"/>
      <c r="I178" s="9"/>
      <c r="J178" s="9"/>
      <c r="O178" s="5"/>
    </row>
    <row r="179" spans="2:15" x14ac:dyDescent="0.3">
      <c r="B179" s="9"/>
      <c r="I179" s="9"/>
      <c r="J179" s="9"/>
      <c r="O179" s="5"/>
    </row>
    <row r="180" spans="2:15" x14ac:dyDescent="0.3">
      <c r="B180" s="9"/>
      <c r="I180" s="9"/>
      <c r="J180" s="9"/>
      <c r="O180" s="5"/>
    </row>
    <row r="181" spans="2:15" x14ac:dyDescent="0.3">
      <c r="B181" s="9"/>
      <c r="I181" s="9"/>
      <c r="J181" s="9"/>
      <c r="O181" s="5"/>
    </row>
    <row r="182" spans="2:15" x14ac:dyDescent="0.3">
      <c r="B182" s="9"/>
      <c r="I182" s="9"/>
      <c r="J182" s="9"/>
      <c r="O182" s="5"/>
    </row>
    <row r="183" spans="2:15" x14ac:dyDescent="0.3">
      <c r="B183" s="9"/>
      <c r="I183" s="9"/>
      <c r="J183" s="9"/>
      <c r="O183" s="5"/>
    </row>
    <row r="184" spans="2:15" x14ac:dyDescent="0.3">
      <c r="B184" s="9"/>
      <c r="I184" s="9"/>
      <c r="J184" s="9"/>
      <c r="O184" s="5"/>
    </row>
    <row r="185" spans="2:15" x14ac:dyDescent="0.3">
      <c r="B185" s="9"/>
      <c r="I185" s="9"/>
      <c r="J185" s="9"/>
      <c r="O185" s="5"/>
    </row>
    <row r="186" spans="2:15" x14ac:dyDescent="0.3">
      <c r="B186" s="9"/>
      <c r="I186" s="9"/>
      <c r="J186" s="9"/>
      <c r="O186" s="5"/>
    </row>
    <row r="187" spans="2:15" x14ac:dyDescent="0.3">
      <c r="B187" s="9"/>
      <c r="I187" s="9"/>
      <c r="J187" s="9"/>
      <c r="O187" s="5"/>
    </row>
    <row r="188" spans="2:15" x14ac:dyDescent="0.3">
      <c r="B188" s="9"/>
      <c r="I188" s="9"/>
      <c r="J188" s="9"/>
      <c r="O188" s="5"/>
    </row>
    <row r="189" spans="2:15" x14ac:dyDescent="0.3">
      <c r="B189" s="9"/>
      <c r="I189" s="9"/>
      <c r="J189" s="9"/>
      <c r="O189" s="5"/>
    </row>
    <row r="190" spans="2:15" x14ac:dyDescent="0.3">
      <c r="B190" s="9"/>
      <c r="I190" s="9"/>
      <c r="J190" s="9"/>
      <c r="O190" s="5"/>
    </row>
    <row r="191" spans="2:15" x14ac:dyDescent="0.3">
      <c r="B191" s="9"/>
      <c r="I191" s="9"/>
      <c r="J191" s="9"/>
      <c r="O191" s="5"/>
    </row>
    <row r="192" spans="2:15" x14ac:dyDescent="0.3">
      <c r="B192" s="9"/>
      <c r="I192" s="9"/>
      <c r="J192" s="9"/>
      <c r="O192" s="5"/>
    </row>
    <row r="193" spans="2:15" x14ac:dyDescent="0.3">
      <c r="B193" s="9"/>
      <c r="I193" s="9"/>
      <c r="J193" s="9"/>
      <c r="O193" s="5"/>
    </row>
    <row r="194" spans="2:15" x14ac:dyDescent="0.3">
      <c r="B194" s="9"/>
      <c r="I194" s="9"/>
      <c r="J194" s="9"/>
      <c r="O194" s="5"/>
    </row>
    <row r="195" spans="2:15" x14ac:dyDescent="0.3">
      <c r="B195" s="9"/>
      <c r="I195" s="9"/>
      <c r="J195" s="9"/>
      <c r="O195" s="5"/>
    </row>
    <row r="196" spans="2:15" x14ac:dyDescent="0.3">
      <c r="B196" s="9"/>
      <c r="I196" s="9"/>
      <c r="J196" s="9"/>
      <c r="O196" s="5"/>
    </row>
    <row r="197" spans="2:15" x14ac:dyDescent="0.3">
      <c r="B197" s="9"/>
      <c r="I197" s="9"/>
      <c r="J197" s="9"/>
      <c r="O197" s="5"/>
    </row>
    <row r="198" spans="2:15" x14ac:dyDescent="0.3">
      <c r="B198" s="9"/>
      <c r="I198" s="9"/>
      <c r="J198" s="9"/>
      <c r="O198" s="5"/>
    </row>
    <row r="199" spans="2:15" x14ac:dyDescent="0.3">
      <c r="B199" s="9"/>
      <c r="I199" s="9"/>
      <c r="J199" s="9"/>
      <c r="O199" s="5"/>
    </row>
    <row r="200" spans="2:15" x14ac:dyDescent="0.3">
      <c r="B200" s="9"/>
      <c r="I200" s="9"/>
      <c r="J200" s="9"/>
      <c r="O200" s="5"/>
    </row>
    <row r="201" spans="2:15" x14ac:dyDescent="0.3">
      <c r="B201" s="9"/>
      <c r="I201" s="9"/>
      <c r="J201" s="9"/>
      <c r="O201" s="5"/>
    </row>
    <row r="202" spans="2:15" x14ac:dyDescent="0.3">
      <c r="B202" s="9"/>
      <c r="I202" s="9"/>
      <c r="J202" s="9"/>
      <c r="O202" s="5"/>
    </row>
    <row r="203" spans="2:15" x14ac:dyDescent="0.3">
      <c r="B203" s="9"/>
      <c r="I203" s="9"/>
      <c r="J203" s="9"/>
      <c r="O203" s="5"/>
    </row>
    <row r="204" spans="2:15" x14ac:dyDescent="0.3">
      <c r="B204" s="9"/>
      <c r="I204" s="9"/>
      <c r="J204" s="9"/>
      <c r="O204" s="5"/>
    </row>
    <row r="205" spans="2:15" x14ac:dyDescent="0.3">
      <c r="B205" s="9"/>
      <c r="I205" s="9"/>
      <c r="J205" s="9"/>
      <c r="O205" s="5"/>
    </row>
    <row r="206" spans="2:15" x14ac:dyDescent="0.3">
      <c r="B206" s="9"/>
      <c r="I206" s="9"/>
      <c r="J206" s="9"/>
      <c r="O206" s="5"/>
    </row>
    <row r="207" spans="2:15" x14ac:dyDescent="0.3">
      <c r="B207" s="9"/>
      <c r="I207" s="9"/>
      <c r="J207" s="9"/>
      <c r="O207" s="5"/>
    </row>
    <row r="208" spans="2:15" x14ac:dyDescent="0.3">
      <c r="B208" s="9"/>
      <c r="I208" s="9"/>
      <c r="J208" s="9"/>
      <c r="O208" s="5"/>
    </row>
    <row r="209" spans="2:15" x14ac:dyDescent="0.3">
      <c r="B209" s="9"/>
      <c r="I209" s="9"/>
      <c r="J209" s="9"/>
      <c r="O209" s="5"/>
    </row>
    <row r="210" spans="2:15" x14ac:dyDescent="0.3">
      <c r="B210" s="9"/>
      <c r="I210" s="9"/>
      <c r="J210" s="9"/>
      <c r="O210" s="5"/>
    </row>
    <row r="211" spans="2:15" x14ac:dyDescent="0.3">
      <c r="B211" s="9"/>
      <c r="I211" s="9"/>
      <c r="J211" s="9"/>
      <c r="O211" s="5"/>
    </row>
    <row r="212" spans="2:15" x14ac:dyDescent="0.3">
      <c r="B212" s="9"/>
      <c r="I212" s="9"/>
      <c r="J212" s="9"/>
      <c r="O212" s="5"/>
    </row>
    <row r="213" spans="2:15" x14ac:dyDescent="0.3">
      <c r="B213" s="9"/>
      <c r="I213" s="9"/>
      <c r="J213" s="9"/>
      <c r="O213" s="5"/>
    </row>
    <row r="214" spans="2:15" x14ac:dyDescent="0.3">
      <c r="B214" s="9"/>
      <c r="I214" s="9"/>
      <c r="J214" s="9"/>
      <c r="O214" s="5"/>
    </row>
    <row r="215" spans="2:15" x14ac:dyDescent="0.3">
      <c r="B215" s="9"/>
      <c r="I215" s="9"/>
      <c r="J215" s="9"/>
      <c r="O215" s="5"/>
    </row>
    <row r="216" spans="2:15" x14ac:dyDescent="0.3">
      <c r="B216" s="9"/>
      <c r="I216" s="9"/>
      <c r="J216" s="9"/>
      <c r="O216" s="5"/>
    </row>
    <row r="217" spans="2:15" x14ac:dyDescent="0.3">
      <c r="B217" s="9"/>
      <c r="I217" s="9"/>
      <c r="J217" s="9"/>
      <c r="O217" s="5"/>
    </row>
    <row r="218" spans="2:15" x14ac:dyDescent="0.3">
      <c r="B218" s="9"/>
      <c r="I218" s="9"/>
      <c r="J218" s="9"/>
      <c r="O218" s="5"/>
    </row>
    <row r="219" spans="2:15" x14ac:dyDescent="0.3">
      <c r="B219" s="9"/>
      <c r="I219" s="9"/>
      <c r="J219" s="9"/>
      <c r="O219" s="5"/>
    </row>
    <row r="220" spans="2:15" x14ac:dyDescent="0.3">
      <c r="B220" s="9"/>
      <c r="I220" s="9"/>
      <c r="J220" s="9"/>
      <c r="O220" s="5"/>
    </row>
    <row r="221" spans="2:15" x14ac:dyDescent="0.3">
      <c r="B221" s="9"/>
      <c r="I221" s="9"/>
      <c r="J221" s="9"/>
      <c r="O221" s="5"/>
    </row>
    <row r="222" spans="2:15" x14ac:dyDescent="0.3">
      <c r="B222" s="9"/>
      <c r="I222" s="9"/>
      <c r="J222" s="9"/>
      <c r="O222" s="5"/>
    </row>
    <row r="223" spans="2:15" x14ac:dyDescent="0.3">
      <c r="B223" s="9"/>
      <c r="I223" s="9"/>
      <c r="J223" s="9"/>
      <c r="O223" s="5"/>
    </row>
    <row r="224" spans="2:15" x14ac:dyDescent="0.3">
      <c r="B224" s="9"/>
      <c r="I224" s="9"/>
      <c r="J224" s="9"/>
      <c r="O224" s="5"/>
    </row>
    <row r="225" spans="2:15" x14ac:dyDescent="0.3">
      <c r="B225" s="9"/>
      <c r="I225" s="9"/>
      <c r="J225" s="9"/>
      <c r="O225" s="5"/>
    </row>
    <row r="226" spans="2:15" x14ac:dyDescent="0.3">
      <c r="B226" s="9"/>
      <c r="I226" s="9"/>
      <c r="J226" s="9"/>
      <c r="O226" s="5"/>
    </row>
    <row r="227" spans="2:15" x14ac:dyDescent="0.3">
      <c r="B227" s="9"/>
      <c r="I227" s="9"/>
      <c r="J227" s="9"/>
      <c r="O227" s="5"/>
    </row>
    <row r="228" spans="2:15" x14ac:dyDescent="0.3">
      <c r="B228" s="9"/>
      <c r="I228" s="9"/>
      <c r="J228" s="9"/>
      <c r="O228" s="5"/>
    </row>
    <row r="229" spans="2:15" x14ac:dyDescent="0.3">
      <c r="B229" s="9"/>
      <c r="I229" s="9"/>
      <c r="J229" s="9"/>
      <c r="O229" s="5"/>
    </row>
    <row r="230" spans="2:15" x14ac:dyDescent="0.3">
      <c r="B230" s="9"/>
      <c r="I230" s="9"/>
      <c r="J230" s="9"/>
      <c r="O230" s="5"/>
    </row>
    <row r="231" spans="2:15" x14ac:dyDescent="0.3">
      <c r="B231" s="9"/>
      <c r="I231" s="9"/>
      <c r="J231" s="9"/>
      <c r="O231" s="5"/>
    </row>
    <row r="232" spans="2:15" x14ac:dyDescent="0.3">
      <c r="B232" s="9"/>
      <c r="I232" s="9"/>
      <c r="J232" s="9"/>
      <c r="O232" s="5"/>
    </row>
    <row r="233" spans="2:15" x14ac:dyDescent="0.3">
      <c r="B233" s="9"/>
      <c r="I233" s="9"/>
      <c r="J233" s="9"/>
      <c r="O233" s="5"/>
    </row>
    <row r="234" spans="2:15" x14ac:dyDescent="0.3">
      <c r="B234" s="9"/>
      <c r="I234" s="9"/>
      <c r="J234" s="9"/>
      <c r="O234" s="5"/>
    </row>
    <row r="235" spans="2:15" x14ac:dyDescent="0.3">
      <c r="B235" s="9"/>
      <c r="I235" s="9"/>
      <c r="J235" s="9"/>
      <c r="O235" s="5"/>
    </row>
    <row r="236" spans="2:15" x14ac:dyDescent="0.3">
      <c r="B236" s="9"/>
      <c r="I236" s="9"/>
      <c r="J236" s="9"/>
      <c r="O236" s="5"/>
    </row>
    <row r="237" spans="2:15" x14ac:dyDescent="0.3">
      <c r="B237" s="9"/>
      <c r="I237" s="9"/>
      <c r="J237" s="9"/>
      <c r="O237" s="5"/>
    </row>
    <row r="238" spans="2:15" x14ac:dyDescent="0.3">
      <c r="B238" s="9"/>
      <c r="I238" s="9"/>
      <c r="J238" s="9"/>
      <c r="O238" s="5"/>
    </row>
    <row r="239" spans="2:15" x14ac:dyDescent="0.3">
      <c r="B239" s="9"/>
      <c r="I239" s="9"/>
      <c r="J239" s="9"/>
      <c r="O239" s="5"/>
    </row>
    <row r="240" spans="2:15" x14ac:dyDescent="0.3">
      <c r="B240" s="9"/>
      <c r="I240" s="9"/>
      <c r="J240" s="9"/>
      <c r="O240" s="5"/>
    </row>
    <row r="241" spans="2:15" x14ac:dyDescent="0.3">
      <c r="B241" s="9"/>
      <c r="I241" s="9"/>
      <c r="J241" s="9"/>
      <c r="O241" s="5"/>
    </row>
    <row r="242" spans="2:15" x14ac:dyDescent="0.3">
      <c r="B242" s="9"/>
      <c r="I242" s="9"/>
      <c r="J242" s="9"/>
      <c r="O242" s="5"/>
    </row>
    <row r="243" spans="2:15" x14ac:dyDescent="0.3">
      <c r="B243" s="9"/>
      <c r="I243" s="9"/>
      <c r="J243" s="9"/>
      <c r="O243" s="5"/>
    </row>
    <row r="244" spans="2:15" x14ac:dyDescent="0.3">
      <c r="B244" s="9"/>
      <c r="I244" s="9"/>
      <c r="J244" s="9"/>
      <c r="O244" s="5"/>
    </row>
    <row r="245" spans="2:15" x14ac:dyDescent="0.3">
      <c r="B245" s="9"/>
      <c r="I245" s="9"/>
      <c r="J245" s="9"/>
      <c r="O245" s="5"/>
    </row>
    <row r="246" spans="2:15" x14ac:dyDescent="0.3">
      <c r="B246" s="9"/>
      <c r="I246" s="9"/>
      <c r="J246" s="9"/>
      <c r="O246" s="5"/>
    </row>
    <row r="247" spans="2:15" x14ac:dyDescent="0.3">
      <c r="B247" s="9"/>
      <c r="I247" s="9"/>
      <c r="J247" s="9"/>
      <c r="O247" s="5"/>
    </row>
    <row r="248" spans="2:15" x14ac:dyDescent="0.3">
      <c r="B248" s="9"/>
      <c r="I248" s="9"/>
      <c r="J248" s="9"/>
      <c r="O248" s="5"/>
    </row>
    <row r="249" spans="2:15" x14ac:dyDescent="0.3">
      <c r="B249" s="9"/>
      <c r="I249" s="9"/>
      <c r="J249" s="9"/>
      <c r="O249" s="5"/>
    </row>
    <row r="250" spans="2:15" x14ac:dyDescent="0.3">
      <c r="B250" s="9"/>
      <c r="I250" s="9"/>
      <c r="J250" s="9"/>
      <c r="O250" s="5"/>
    </row>
    <row r="251" spans="2:15" x14ac:dyDescent="0.3">
      <c r="B251" s="9"/>
      <c r="I251" s="9"/>
      <c r="J251" s="9"/>
      <c r="O251" s="5"/>
    </row>
    <row r="252" spans="2:15" x14ac:dyDescent="0.3">
      <c r="B252" s="9"/>
      <c r="I252" s="9"/>
      <c r="J252" s="9"/>
      <c r="O252" s="5"/>
    </row>
    <row r="253" spans="2:15" x14ac:dyDescent="0.3">
      <c r="B253" s="9"/>
      <c r="I253" s="9"/>
      <c r="J253" s="9"/>
      <c r="O253" s="5"/>
    </row>
    <row r="254" spans="2:15" x14ac:dyDescent="0.3">
      <c r="B254" s="9"/>
      <c r="I254" s="9"/>
      <c r="J254" s="9"/>
      <c r="O254" s="5"/>
    </row>
    <row r="255" spans="2:15" x14ac:dyDescent="0.3">
      <c r="B255" s="9"/>
      <c r="I255" s="9"/>
      <c r="J255" s="9"/>
      <c r="O255" s="5"/>
    </row>
    <row r="256" spans="2:15" x14ac:dyDescent="0.3">
      <c r="B256" s="9"/>
      <c r="I256" s="9"/>
      <c r="J256" s="9"/>
      <c r="O256" s="5"/>
    </row>
    <row r="257" spans="2:15" x14ac:dyDescent="0.3">
      <c r="B257" s="9"/>
      <c r="I257" s="9"/>
      <c r="J257" s="9"/>
      <c r="O257" s="5"/>
    </row>
    <row r="258" spans="2:15" x14ac:dyDescent="0.3">
      <c r="B258" s="9"/>
      <c r="I258" s="9"/>
      <c r="J258" s="9"/>
      <c r="O258" s="5"/>
    </row>
    <row r="259" spans="2:15" x14ac:dyDescent="0.3">
      <c r="B259" s="9"/>
      <c r="I259" s="9"/>
      <c r="J259" s="9"/>
      <c r="O259" s="5"/>
    </row>
    <row r="260" spans="2:15" x14ac:dyDescent="0.3">
      <c r="B260" s="9"/>
      <c r="I260" s="9"/>
      <c r="J260" s="9"/>
      <c r="O260" s="5"/>
    </row>
    <row r="261" spans="2:15" x14ac:dyDescent="0.3">
      <c r="B261" s="9"/>
      <c r="I261" s="9"/>
      <c r="J261" s="9"/>
      <c r="O261" s="5"/>
    </row>
    <row r="262" spans="2:15" x14ac:dyDescent="0.3">
      <c r="B262" s="9"/>
      <c r="I262" s="9"/>
      <c r="J262" s="9"/>
      <c r="O262" s="5"/>
    </row>
    <row r="263" spans="2:15" x14ac:dyDescent="0.3">
      <c r="B263" s="9"/>
      <c r="I263" s="9"/>
      <c r="J263" s="9"/>
      <c r="O263" s="5"/>
    </row>
    <row r="264" spans="2:15" x14ac:dyDescent="0.3">
      <c r="B264" s="9"/>
      <c r="I264" s="9"/>
      <c r="J264" s="9"/>
      <c r="O264" s="5"/>
    </row>
    <row r="265" spans="2:15" x14ac:dyDescent="0.3">
      <c r="B265" s="9"/>
      <c r="I265" s="9"/>
      <c r="J265" s="9"/>
      <c r="O265" s="5"/>
    </row>
    <row r="266" spans="2:15" x14ac:dyDescent="0.3">
      <c r="B266" s="9"/>
      <c r="I266" s="9"/>
      <c r="J266" s="9"/>
      <c r="O266" s="5"/>
    </row>
    <row r="267" spans="2:15" x14ac:dyDescent="0.3">
      <c r="B267" s="9"/>
      <c r="I267" s="9"/>
      <c r="J267" s="9"/>
      <c r="O267" s="5"/>
    </row>
    <row r="268" spans="2:15" x14ac:dyDescent="0.3">
      <c r="B268" s="9"/>
      <c r="I268" s="9"/>
      <c r="J268" s="9"/>
      <c r="O268" s="5"/>
    </row>
    <row r="269" spans="2:15" x14ac:dyDescent="0.3">
      <c r="B269" s="9"/>
      <c r="I269" s="9"/>
      <c r="J269" s="9"/>
      <c r="O269" s="5"/>
    </row>
    <row r="270" spans="2:15" x14ac:dyDescent="0.3">
      <c r="B270" s="9"/>
      <c r="I270" s="9"/>
      <c r="J270" s="9"/>
      <c r="O270" s="5"/>
    </row>
    <row r="271" spans="2:15" x14ac:dyDescent="0.3">
      <c r="B271" s="9"/>
      <c r="I271" s="9"/>
      <c r="J271" s="9"/>
      <c r="O271" s="5"/>
    </row>
    <row r="272" spans="2:15" x14ac:dyDescent="0.3">
      <c r="B272" s="9"/>
      <c r="I272" s="9"/>
      <c r="J272" s="9"/>
      <c r="O272" s="5"/>
    </row>
    <row r="273" spans="2:15" x14ac:dyDescent="0.3">
      <c r="B273" s="9"/>
      <c r="I273" s="9"/>
      <c r="J273" s="9"/>
      <c r="O273" s="5"/>
    </row>
    <row r="274" spans="2:15" x14ac:dyDescent="0.3">
      <c r="B274" s="9"/>
      <c r="I274" s="9"/>
      <c r="J274" s="9"/>
      <c r="O274" s="5"/>
    </row>
    <row r="275" spans="2:15" x14ac:dyDescent="0.3">
      <c r="B275" s="9"/>
      <c r="I275" s="9"/>
      <c r="J275" s="9"/>
      <c r="O275" s="5"/>
    </row>
    <row r="276" spans="2:15" x14ac:dyDescent="0.3">
      <c r="B276" s="9"/>
      <c r="I276" s="9"/>
      <c r="J276" s="9"/>
      <c r="O276" s="5"/>
    </row>
    <row r="277" spans="2:15" x14ac:dyDescent="0.3">
      <c r="B277" s="9"/>
      <c r="I277" s="9"/>
      <c r="J277" s="9"/>
      <c r="O277" s="5"/>
    </row>
    <row r="278" spans="2:15" x14ac:dyDescent="0.3">
      <c r="B278" s="9"/>
      <c r="I278" s="9"/>
      <c r="J278" s="9"/>
      <c r="O278" s="5"/>
    </row>
    <row r="279" spans="2:15" x14ac:dyDescent="0.3">
      <c r="B279" s="9"/>
      <c r="I279" s="9"/>
      <c r="J279" s="9"/>
      <c r="O279" s="5"/>
    </row>
    <row r="280" spans="2:15" x14ac:dyDescent="0.3">
      <c r="B280" s="9"/>
      <c r="I280" s="9"/>
      <c r="J280" s="9"/>
      <c r="O280" s="5"/>
    </row>
    <row r="281" spans="2:15" x14ac:dyDescent="0.3">
      <c r="B281" s="9"/>
      <c r="I281" s="9"/>
      <c r="J281" s="9"/>
      <c r="O281" s="5"/>
    </row>
    <row r="282" spans="2:15" x14ac:dyDescent="0.3">
      <c r="B282" s="9"/>
      <c r="I282" s="9"/>
      <c r="J282" s="9"/>
      <c r="O282" s="5"/>
    </row>
    <row r="283" spans="2:15" x14ac:dyDescent="0.3">
      <c r="B283" s="9"/>
      <c r="I283" s="9"/>
      <c r="J283" s="9"/>
      <c r="O283" s="5"/>
    </row>
    <row r="284" spans="2:15" x14ac:dyDescent="0.3">
      <c r="B284" s="9"/>
      <c r="I284" s="9"/>
      <c r="J284" s="9"/>
      <c r="O284" s="5"/>
    </row>
    <row r="285" spans="2:15" x14ac:dyDescent="0.3">
      <c r="B285" s="9"/>
      <c r="I285" s="9"/>
      <c r="J285" s="9"/>
      <c r="O285" s="5"/>
    </row>
    <row r="286" spans="2:15" x14ac:dyDescent="0.3">
      <c r="B286" s="9"/>
      <c r="I286" s="9"/>
      <c r="J286" s="9"/>
      <c r="O286" s="5"/>
    </row>
    <row r="287" spans="2:15" x14ac:dyDescent="0.3">
      <c r="B287" s="9"/>
      <c r="I287" s="9"/>
      <c r="J287" s="9"/>
      <c r="O287" s="5"/>
    </row>
    <row r="288" spans="2:15" x14ac:dyDescent="0.3">
      <c r="B288" s="9"/>
      <c r="I288" s="9"/>
      <c r="J288" s="9"/>
      <c r="O288" s="5"/>
    </row>
    <row r="289" spans="2:15" x14ac:dyDescent="0.3">
      <c r="B289" s="9"/>
      <c r="I289" s="9"/>
      <c r="J289" s="9"/>
      <c r="O289" s="5"/>
    </row>
    <row r="290" spans="2:15" x14ac:dyDescent="0.3">
      <c r="B290" s="9"/>
      <c r="I290" s="9"/>
      <c r="J290" s="9"/>
      <c r="O290" s="5"/>
    </row>
    <row r="291" spans="2:15" x14ac:dyDescent="0.3">
      <c r="B291" s="9"/>
      <c r="I291" s="9"/>
      <c r="J291" s="9"/>
      <c r="O291" s="5"/>
    </row>
    <row r="292" spans="2:15" x14ac:dyDescent="0.3">
      <c r="B292" s="9"/>
      <c r="I292" s="9"/>
      <c r="J292" s="9"/>
      <c r="O292" s="5"/>
    </row>
    <row r="293" spans="2:15" x14ac:dyDescent="0.3">
      <c r="B293" s="9"/>
      <c r="I293" s="9"/>
      <c r="J293" s="9"/>
      <c r="O293" s="5"/>
    </row>
    <row r="294" spans="2:15" x14ac:dyDescent="0.3">
      <c r="B294" s="9"/>
      <c r="I294" s="9"/>
      <c r="J294" s="9"/>
      <c r="O294" s="5"/>
    </row>
    <row r="295" spans="2:15" x14ac:dyDescent="0.3">
      <c r="B295" s="9"/>
      <c r="I295" s="9"/>
      <c r="J295" s="9"/>
      <c r="O295" s="5"/>
    </row>
    <row r="296" spans="2:15" x14ac:dyDescent="0.3">
      <c r="B296" s="9"/>
      <c r="I296" s="9"/>
      <c r="J296" s="9"/>
      <c r="O296" s="5"/>
    </row>
    <row r="297" spans="2:15" x14ac:dyDescent="0.3">
      <c r="B297" s="9"/>
      <c r="I297" s="9"/>
      <c r="J297" s="9"/>
      <c r="O297" s="5"/>
    </row>
    <row r="298" spans="2:15" x14ac:dyDescent="0.3">
      <c r="B298" s="9"/>
      <c r="I298" s="9"/>
      <c r="J298" s="9"/>
      <c r="O298" s="5"/>
    </row>
    <row r="299" spans="2:15" x14ac:dyDescent="0.3">
      <c r="B299" s="9"/>
      <c r="I299" s="9"/>
      <c r="J299" s="9"/>
      <c r="O299" s="5"/>
    </row>
    <row r="300" spans="2:15" x14ac:dyDescent="0.3">
      <c r="B300" s="9"/>
      <c r="I300" s="9"/>
      <c r="J300" s="9"/>
      <c r="O300" s="5"/>
    </row>
    <row r="301" spans="2:15" x14ac:dyDescent="0.3">
      <c r="B301" s="9"/>
      <c r="I301" s="9"/>
      <c r="J301" s="9"/>
      <c r="O301" s="5"/>
    </row>
    <row r="302" spans="2:15" x14ac:dyDescent="0.3">
      <c r="B302" s="9"/>
      <c r="I302" s="9"/>
      <c r="J302" s="9"/>
      <c r="O302" s="5"/>
    </row>
    <row r="303" spans="2:15" x14ac:dyDescent="0.3">
      <c r="B303" s="9"/>
      <c r="I303" s="9"/>
      <c r="J303" s="9"/>
      <c r="O303" s="5"/>
    </row>
    <row r="304" spans="2:15" x14ac:dyDescent="0.3">
      <c r="B304" s="9"/>
      <c r="I304" s="9"/>
      <c r="J304" s="9"/>
      <c r="O304" s="5"/>
    </row>
    <row r="305" spans="2:15" x14ac:dyDescent="0.3">
      <c r="B305" s="9"/>
      <c r="I305" s="9"/>
      <c r="J305" s="9"/>
      <c r="O305" s="5"/>
    </row>
    <row r="306" spans="2:15" x14ac:dyDescent="0.3">
      <c r="B306" s="9"/>
      <c r="I306" s="9"/>
      <c r="J306" s="9"/>
      <c r="O306" s="5"/>
    </row>
    <row r="307" spans="2:15" x14ac:dyDescent="0.3">
      <c r="B307" s="9"/>
      <c r="I307" s="9"/>
      <c r="J307" s="9"/>
      <c r="O307" s="5"/>
    </row>
    <row r="308" spans="2:15" x14ac:dyDescent="0.3">
      <c r="B308" s="9"/>
      <c r="I308" s="9"/>
      <c r="J308" s="9"/>
      <c r="O308" s="5"/>
    </row>
    <row r="309" spans="2:15" x14ac:dyDescent="0.3">
      <c r="B309" s="9"/>
      <c r="I309" s="9"/>
      <c r="J309" s="9"/>
      <c r="O309" s="5"/>
    </row>
    <row r="310" spans="2:15" x14ac:dyDescent="0.3">
      <c r="B310" s="9"/>
      <c r="I310" s="9"/>
      <c r="J310" s="9"/>
      <c r="O310" s="5"/>
    </row>
    <row r="311" spans="2:15" x14ac:dyDescent="0.3">
      <c r="B311" s="9"/>
      <c r="I311" s="9"/>
      <c r="J311" s="9"/>
      <c r="O311" s="5"/>
    </row>
    <row r="312" spans="2:15" x14ac:dyDescent="0.3">
      <c r="B312" s="9"/>
      <c r="I312" s="9"/>
      <c r="J312" s="9"/>
      <c r="O312" s="5"/>
    </row>
    <row r="313" spans="2:15" x14ac:dyDescent="0.3">
      <c r="B313" s="9"/>
      <c r="I313" s="9"/>
      <c r="J313" s="9"/>
      <c r="O313" s="5"/>
    </row>
    <row r="314" spans="2:15" x14ac:dyDescent="0.3">
      <c r="B314" s="9"/>
      <c r="I314" s="9"/>
      <c r="J314" s="9"/>
      <c r="O314" s="5"/>
    </row>
    <row r="315" spans="2:15" x14ac:dyDescent="0.3">
      <c r="B315" s="9"/>
      <c r="I315" s="9"/>
      <c r="J315" s="9"/>
      <c r="O315" s="5"/>
    </row>
    <row r="316" spans="2:15" x14ac:dyDescent="0.3">
      <c r="B316" s="9"/>
      <c r="I316" s="9"/>
      <c r="J316" s="9"/>
      <c r="O316" s="5"/>
    </row>
    <row r="317" spans="2:15" x14ac:dyDescent="0.3">
      <c r="B317" s="9"/>
      <c r="I317" s="9"/>
      <c r="J317" s="9"/>
      <c r="O317" s="5"/>
    </row>
    <row r="318" spans="2:15" x14ac:dyDescent="0.3">
      <c r="B318" s="9"/>
      <c r="I318" s="9"/>
      <c r="J318" s="9"/>
      <c r="O318" s="5"/>
    </row>
    <row r="319" spans="2:15" x14ac:dyDescent="0.3">
      <c r="B319" s="9"/>
      <c r="I319" s="9"/>
      <c r="J319" s="9"/>
      <c r="O319" s="5"/>
    </row>
    <row r="320" spans="2:15" x14ac:dyDescent="0.3">
      <c r="B320" s="9"/>
      <c r="I320" s="9"/>
      <c r="J320" s="9"/>
      <c r="O320" s="5"/>
    </row>
    <row r="321" spans="2:15" x14ac:dyDescent="0.3">
      <c r="B321" s="9"/>
      <c r="I321" s="9"/>
      <c r="J321" s="9"/>
      <c r="O321" s="5"/>
    </row>
    <row r="322" spans="2:15" x14ac:dyDescent="0.3">
      <c r="B322" s="9"/>
      <c r="I322" s="9"/>
      <c r="J322" s="9"/>
      <c r="O322" s="5"/>
    </row>
    <row r="323" spans="2:15" x14ac:dyDescent="0.3">
      <c r="B323" s="9"/>
      <c r="I323" s="9"/>
      <c r="J323" s="9"/>
      <c r="O323" s="5"/>
    </row>
    <row r="324" spans="2:15" x14ac:dyDescent="0.3">
      <c r="B324" s="9"/>
      <c r="I324" s="9"/>
      <c r="J324" s="9"/>
      <c r="O324" s="5"/>
    </row>
    <row r="325" spans="2:15" x14ac:dyDescent="0.3">
      <c r="B325" s="9"/>
      <c r="I325" s="9"/>
      <c r="J325" s="9"/>
      <c r="O325" s="5"/>
    </row>
    <row r="326" spans="2:15" x14ac:dyDescent="0.3">
      <c r="B326" s="9"/>
      <c r="I326" s="9"/>
      <c r="J326" s="9"/>
      <c r="O326" s="5"/>
    </row>
    <row r="327" spans="2:15" x14ac:dyDescent="0.3">
      <c r="B327" s="9"/>
      <c r="I327" s="9"/>
      <c r="J327" s="9"/>
      <c r="O327" s="5"/>
    </row>
    <row r="328" spans="2:15" x14ac:dyDescent="0.3">
      <c r="B328" s="9"/>
      <c r="I328" s="9"/>
      <c r="J328" s="9"/>
      <c r="O328" s="5"/>
    </row>
    <row r="329" spans="2:15" x14ac:dyDescent="0.3">
      <c r="B329" s="9"/>
      <c r="I329" s="9"/>
      <c r="J329" s="9"/>
      <c r="O329" s="5"/>
    </row>
    <row r="330" spans="2:15" x14ac:dyDescent="0.3">
      <c r="B330" s="9"/>
      <c r="I330" s="9"/>
      <c r="J330" s="9"/>
      <c r="O330" s="5"/>
    </row>
    <row r="331" spans="2:15" x14ac:dyDescent="0.3">
      <c r="B331" s="9"/>
      <c r="I331" s="9"/>
      <c r="J331" s="9"/>
      <c r="O331" s="5"/>
    </row>
    <row r="332" spans="2:15" x14ac:dyDescent="0.3">
      <c r="B332" s="9"/>
      <c r="I332" s="9"/>
      <c r="J332" s="9"/>
      <c r="O332" s="5"/>
    </row>
    <row r="333" spans="2:15" x14ac:dyDescent="0.3">
      <c r="B333" s="9"/>
      <c r="I333" s="9"/>
      <c r="J333" s="9"/>
      <c r="O333" s="5"/>
    </row>
    <row r="334" spans="2:15" x14ac:dyDescent="0.3">
      <c r="B334" s="9"/>
      <c r="I334" s="9"/>
      <c r="J334" s="9"/>
      <c r="O334" s="5"/>
    </row>
    <row r="335" spans="2:15" x14ac:dyDescent="0.3">
      <c r="B335" s="9"/>
      <c r="I335" s="9"/>
      <c r="J335" s="9"/>
      <c r="O335" s="5"/>
    </row>
    <row r="336" spans="2:15" x14ac:dyDescent="0.3">
      <c r="B336" s="9"/>
      <c r="I336" s="9"/>
      <c r="J336" s="9"/>
      <c r="O336" s="5"/>
    </row>
    <row r="337" spans="2:15" x14ac:dyDescent="0.3">
      <c r="B337" s="9"/>
      <c r="I337" s="9"/>
      <c r="J337" s="9"/>
      <c r="O337" s="5"/>
    </row>
    <row r="338" spans="2:15" x14ac:dyDescent="0.3">
      <c r="B338" s="9"/>
      <c r="I338" s="9"/>
      <c r="J338" s="9"/>
      <c r="O338" s="5"/>
    </row>
    <row r="339" spans="2:15" x14ac:dyDescent="0.3">
      <c r="B339" s="9"/>
      <c r="I339" s="9"/>
      <c r="J339" s="9"/>
      <c r="O339" s="5"/>
    </row>
    <row r="340" spans="2:15" x14ac:dyDescent="0.3">
      <c r="B340" s="9"/>
      <c r="I340" s="9"/>
      <c r="J340" s="9"/>
      <c r="O340" s="5"/>
    </row>
    <row r="341" spans="2:15" x14ac:dyDescent="0.3">
      <c r="B341" s="9"/>
      <c r="I341" s="9"/>
      <c r="J341" s="9"/>
      <c r="O341" s="5"/>
    </row>
    <row r="342" spans="2:15" x14ac:dyDescent="0.3">
      <c r="B342" s="9"/>
      <c r="I342" s="9"/>
      <c r="J342" s="9"/>
      <c r="O342" s="5"/>
    </row>
    <row r="343" spans="2:15" x14ac:dyDescent="0.3">
      <c r="B343" s="9"/>
      <c r="I343" s="9"/>
      <c r="J343" s="9"/>
      <c r="O343" s="5"/>
    </row>
    <row r="344" spans="2:15" x14ac:dyDescent="0.3">
      <c r="B344" s="9"/>
      <c r="I344" s="9"/>
      <c r="J344" s="9"/>
      <c r="O344" s="5"/>
    </row>
    <row r="345" spans="2:15" x14ac:dyDescent="0.3">
      <c r="B345" s="9"/>
      <c r="I345" s="9"/>
      <c r="J345" s="9"/>
      <c r="O345" s="5"/>
    </row>
    <row r="346" spans="2:15" x14ac:dyDescent="0.3">
      <c r="B346" s="9"/>
      <c r="I346" s="9"/>
      <c r="J346" s="9"/>
      <c r="O346" s="5"/>
    </row>
    <row r="347" spans="2:15" x14ac:dyDescent="0.3">
      <c r="B347" s="9"/>
      <c r="I347" s="9"/>
      <c r="J347" s="9"/>
      <c r="O347" s="5"/>
    </row>
    <row r="348" spans="2:15" x14ac:dyDescent="0.3">
      <c r="B348" s="9"/>
      <c r="I348" s="9"/>
      <c r="J348" s="9"/>
      <c r="O348" s="5"/>
    </row>
    <row r="349" spans="2:15" x14ac:dyDescent="0.3">
      <c r="B349" s="9"/>
      <c r="I349" s="9"/>
      <c r="J349" s="9"/>
      <c r="O349" s="5"/>
    </row>
    <row r="350" spans="2:15" x14ac:dyDescent="0.3">
      <c r="B350" s="9"/>
      <c r="I350" s="9"/>
      <c r="J350" s="9"/>
      <c r="O350" s="5"/>
    </row>
    <row r="351" spans="2:15" x14ac:dyDescent="0.3">
      <c r="B351" s="9"/>
      <c r="I351" s="9"/>
      <c r="J351" s="9"/>
      <c r="O351" s="5"/>
    </row>
    <row r="352" spans="2:15" x14ac:dyDescent="0.3">
      <c r="B352" s="9"/>
      <c r="I352" s="9"/>
      <c r="J352" s="9"/>
      <c r="O352" s="5"/>
    </row>
    <row r="353" spans="2:15" x14ac:dyDescent="0.3">
      <c r="B353" s="9"/>
      <c r="I353" s="9"/>
      <c r="J353" s="9"/>
      <c r="O353" s="5"/>
    </row>
    <row r="354" spans="2:15" x14ac:dyDescent="0.3">
      <c r="B354" s="9"/>
      <c r="I354" s="9"/>
      <c r="J354" s="9"/>
      <c r="O354" s="5"/>
    </row>
    <row r="355" spans="2:15" x14ac:dyDescent="0.3">
      <c r="B355" s="9"/>
      <c r="I355" s="9"/>
      <c r="J355" s="9"/>
      <c r="O355" s="5"/>
    </row>
    <row r="356" spans="2:15" x14ac:dyDescent="0.3">
      <c r="B356" s="9"/>
      <c r="I356" s="9"/>
      <c r="J356" s="9"/>
      <c r="O356" s="5"/>
    </row>
    <row r="357" spans="2:15" x14ac:dyDescent="0.3">
      <c r="B357" s="9"/>
      <c r="I357" s="9"/>
      <c r="J357" s="9"/>
      <c r="O357" s="5"/>
    </row>
    <row r="358" spans="2:15" x14ac:dyDescent="0.3">
      <c r="B358" s="9"/>
      <c r="I358" s="9"/>
      <c r="J358" s="9"/>
      <c r="O358" s="5"/>
    </row>
    <row r="359" spans="2:15" x14ac:dyDescent="0.3">
      <c r="B359" s="9"/>
      <c r="I359" s="9"/>
      <c r="J359" s="9"/>
      <c r="O359" s="5"/>
    </row>
    <row r="360" spans="2:15" x14ac:dyDescent="0.3">
      <c r="B360" s="9"/>
      <c r="I360" s="9"/>
      <c r="J360" s="9"/>
      <c r="O360" s="5"/>
    </row>
    <row r="361" spans="2:15" x14ac:dyDescent="0.3">
      <c r="B361" s="9"/>
      <c r="I361" s="9"/>
      <c r="J361" s="9"/>
      <c r="O361" s="5"/>
    </row>
    <row r="362" spans="2:15" x14ac:dyDescent="0.3">
      <c r="B362" s="9"/>
      <c r="I362" s="9"/>
      <c r="J362" s="9"/>
      <c r="O362" s="5"/>
    </row>
    <row r="363" spans="2:15" x14ac:dyDescent="0.3">
      <c r="B363" s="9"/>
      <c r="I363" s="9"/>
      <c r="J363" s="9"/>
      <c r="O363" s="5"/>
    </row>
    <row r="364" spans="2:15" x14ac:dyDescent="0.3">
      <c r="B364" s="9"/>
      <c r="I364" s="9"/>
      <c r="J364" s="9"/>
      <c r="O364" s="5"/>
    </row>
    <row r="365" spans="2:15" x14ac:dyDescent="0.3">
      <c r="B365" s="9"/>
      <c r="I365" s="9"/>
      <c r="J365" s="9"/>
      <c r="O365" s="5"/>
    </row>
    <row r="366" spans="2:15" x14ac:dyDescent="0.3">
      <c r="B366" s="9"/>
      <c r="I366" s="9"/>
      <c r="J366" s="9"/>
      <c r="O366" s="5"/>
    </row>
    <row r="367" spans="2:15" x14ac:dyDescent="0.3">
      <c r="B367" s="9"/>
      <c r="I367" s="9"/>
      <c r="J367" s="9"/>
      <c r="O367" s="5"/>
    </row>
    <row r="368" spans="2:15" x14ac:dyDescent="0.3">
      <c r="B368" s="9"/>
      <c r="I368" s="9"/>
      <c r="J368" s="9"/>
      <c r="O368" s="5"/>
    </row>
    <row r="369" spans="2:15" x14ac:dyDescent="0.3">
      <c r="B369" s="9"/>
      <c r="I369" s="9"/>
      <c r="J369" s="9"/>
      <c r="O369" s="5"/>
    </row>
    <row r="370" spans="2:15" x14ac:dyDescent="0.3">
      <c r="B370" s="9"/>
      <c r="I370" s="9"/>
      <c r="J370" s="9"/>
      <c r="O370" s="5"/>
    </row>
    <row r="371" spans="2:15" x14ac:dyDescent="0.3">
      <c r="B371" s="9"/>
      <c r="I371" s="9"/>
      <c r="J371" s="9"/>
      <c r="O371" s="5"/>
    </row>
    <row r="372" spans="2:15" x14ac:dyDescent="0.3">
      <c r="B372" s="9"/>
      <c r="I372" s="9"/>
      <c r="J372" s="9"/>
      <c r="O372" s="5"/>
    </row>
    <row r="373" spans="2:15" x14ac:dyDescent="0.3">
      <c r="B373" s="9"/>
      <c r="I373" s="9"/>
      <c r="J373" s="9"/>
      <c r="O373" s="5"/>
    </row>
    <row r="374" spans="2:15" x14ac:dyDescent="0.3">
      <c r="B374" s="9"/>
      <c r="I374" s="9"/>
      <c r="J374" s="9"/>
      <c r="O374" s="5"/>
    </row>
    <row r="375" spans="2:15" x14ac:dyDescent="0.3">
      <c r="B375" s="9"/>
      <c r="I375" s="9"/>
      <c r="J375" s="9"/>
      <c r="O375" s="5"/>
    </row>
    <row r="376" spans="2:15" x14ac:dyDescent="0.3">
      <c r="B376" s="9"/>
      <c r="I376" s="9"/>
      <c r="J376" s="9"/>
      <c r="O376" s="5"/>
    </row>
    <row r="377" spans="2:15" x14ac:dyDescent="0.3">
      <c r="B377" s="9"/>
      <c r="I377" s="9"/>
      <c r="J377" s="9"/>
      <c r="O377" s="5"/>
    </row>
    <row r="378" spans="2:15" x14ac:dyDescent="0.3">
      <c r="B378" s="9"/>
      <c r="I378" s="9"/>
      <c r="J378" s="9"/>
      <c r="O378" s="5"/>
    </row>
    <row r="379" spans="2:15" x14ac:dyDescent="0.3">
      <c r="B379" s="9"/>
      <c r="I379" s="9"/>
      <c r="J379" s="9"/>
      <c r="O379" s="5"/>
    </row>
    <row r="380" spans="2:15" x14ac:dyDescent="0.3">
      <c r="B380" s="9"/>
      <c r="I380" s="9"/>
      <c r="J380" s="9"/>
      <c r="O380" s="5"/>
    </row>
    <row r="381" spans="2:15" x14ac:dyDescent="0.3">
      <c r="B381" s="9"/>
      <c r="I381" s="9"/>
      <c r="J381" s="9"/>
      <c r="O381" s="5"/>
    </row>
    <row r="382" spans="2:15" x14ac:dyDescent="0.3">
      <c r="B382" s="9"/>
      <c r="I382" s="9"/>
      <c r="J382" s="9"/>
      <c r="O382" s="5"/>
    </row>
    <row r="383" spans="2:15" x14ac:dyDescent="0.3">
      <c r="B383" s="9"/>
      <c r="I383" s="9"/>
      <c r="J383" s="9"/>
      <c r="O383" s="5"/>
    </row>
    <row r="384" spans="2:15" x14ac:dyDescent="0.3">
      <c r="B384" s="9"/>
      <c r="I384" s="9"/>
      <c r="J384" s="9"/>
      <c r="O384" s="5"/>
    </row>
    <row r="385" spans="2:15" x14ac:dyDescent="0.3">
      <c r="B385" s="9"/>
      <c r="I385" s="9"/>
      <c r="J385" s="9"/>
      <c r="O385" s="5"/>
    </row>
    <row r="386" spans="2:15" x14ac:dyDescent="0.3">
      <c r="B386" s="9"/>
      <c r="I386" s="9"/>
      <c r="J386" s="9"/>
      <c r="O386" s="5"/>
    </row>
    <row r="387" spans="2:15" x14ac:dyDescent="0.3">
      <c r="B387" s="9"/>
      <c r="I387" s="9"/>
      <c r="J387" s="9"/>
      <c r="O387" s="5"/>
    </row>
    <row r="388" spans="2:15" x14ac:dyDescent="0.3">
      <c r="B388" s="9"/>
      <c r="I388" s="9"/>
      <c r="J388" s="9"/>
      <c r="O388" s="5"/>
    </row>
    <row r="389" spans="2:15" x14ac:dyDescent="0.3">
      <c r="B389" s="9"/>
      <c r="I389" s="9"/>
      <c r="J389" s="9"/>
      <c r="O389" s="5"/>
    </row>
    <row r="390" spans="2:15" x14ac:dyDescent="0.3">
      <c r="B390" s="9"/>
      <c r="I390" s="9"/>
      <c r="J390" s="9"/>
      <c r="O390" s="5"/>
    </row>
    <row r="391" spans="2:15" x14ac:dyDescent="0.3">
      <c r="B391" s="9"/>
      <c r="I391" s="9"/>
      <c r="J391" s="9"/>
      <c r="O391" s="5"/>
    </row>
    <row r="392" spans="2:15" x14ac:dyDescent="0.3">
      <c r="B392" s="9"/>
      <c r="I392" s="9"/>
      <c r="J392" s="9"/>
      <c r="O392" s="5"/>
    </row>
    <row r="393" spans="2:15" x14ac:dyDescent="0.3">
      <c r="B393" s="9"/>
      <c r="I393" s="9"/>
      <c r="J393" s="9"/>
      <c r="O393" s="5"/>
    </row>
    <row r="394" spans="2:15" x14ac:dyDescent="0.3">
      <c r="B394" s="9"/>
      <c r="I394" s="9"/>
      <c r="J394" s="9"/>
      <c r="O394" s="5"/>
    </row>
    <row r="395" spans="2:15" x14ac:dyDescent="0.3">
      <c r="B395" s="9"/>
      <c r="I395" s="9"/>
      <c r="J395" s="9"/>
      <c r="O395" s="5"/>
    </row>
    <row r="396" spans="2:15" x14ac:dyDescent="0.3">
      <c r="B396" s="9"/>
      <c r="I396" s="9"/>
      <c r="J396" s="9"/>
      <c r="O396" s="5"/>
    </row>
    <row r="397" spans="2:15" x14ac:dyDescent="0.3">
      <c r="B397" s="9"/>
      <c r="I397" s="9"/>
      <c r="J397" s="9"/>
      <c r="O397" s="5"/>
    </row>
    <row r="398" spans="2:15" x14ac:dyDescent="0.3">
      <c r="B398" s="9"/>
      <c r="I398" s="9"/>
      <c r="J398" s="9"/>
      <c r="O398" s="5"/>
    </row>
    <row r="399" spans="2:15" x14ac:dyDescent="0.3">
      <c r="B399" s="9"/>
      <c r="I399" s="9"/>
      <c r="J399" s="9"/>
      <c r="O399" s="5"/>
    </row>
    <row r="400" spans="2:15" x14ac:dyDescent="0.3">
      <c r="B400" s="9"/>
      <c r="I400" s="9"/>
      <c r="J400" s="9"/>
      <c r="O400" s="5"/>
    </row>
    <row r="401" spans="2:15" x14ac:dyDescent="0.3">
      <c r="B401" s="9"/>
      <c r="I401" s="9"/>
      <c r="J401" s="9"/>
      <c r="O401" s="5"/>
    </row>
    <row r="402" spans="2:15" x14ac:dyDescent="0.3">
      <c r="B402" s="9"/>
      <c r="I402" s="9"/>
      <c r="J402" s="9"/>
      <c r="O402" s="5"/>
    </row>
    <row r="403" spans="2:15" x14ac:dyDescent="0.3">
      <c r="B403" s="9"/>
      <c r="I403" s="9"/>
      <c r="J403" s="9"/>
      <c r="O403" s="5"/>
    </row>
    <row r="404" spans="2:15" x14ac:dyDescent="0.3">
      <c r="B404" s="9"/>
      <c r="I404" s="9"/>
      <c r="J404" s="9"/>
      <c r="O404" s="5"/>
    </row>
    <row r="405" spans="2:15" x14ac:dyDescent="0.3">
      <c r="B405" s="9"/>
      <c r="I405" s="9"/>
      <c r="J405" s="9"/>
      <c r="O405" s="5"/>
    </row>
    <row r="406" spans="2:15" x14ac:dyDescent="0.3">
      <c r="B406" s="9"/>
      <c r="I406" s="9"/>
      <c r="J406" s="9"/>
      <c r="O406" s="5"/>
    </row>
    <row r="407" spans="2:15" x14ac:dyDescent="0.3">
      <c r="B407" s="9"/>
      <c r="I407" s="9"/>
      <c r="J407" s="9"/>
      <c r="O407" s="5"/>
    </row>
    <row r="408" spans="2:15" x14ac:dyDescent="0.3">
      <c r="B408" s="9"/>
      <c r="I408" s="9"/>
      <c r="J408" s="9"/>
      <c r="O408" s="5"/>
    </row>
    <row r="409" spans="2:15" x14ac:dyDescent="0.3">
      <c r="B409" s="9"/>
      <c r="I409" s="9"/>
      <c r="J409" s="9"/>
      <c r="O409" s="5"/>
    </row>
    <row r="410" spans="2:15" x14ac:dyDescent="0.3">
      <c r="B410" s="9"/>
      <c r="I410" s="9"/>
      <c r="J410" s="9"/>
      <c r="O410" s="5"/>
    </row>
    <row r="411" spans="2:15" x14ac:dyDescent="0.3">
      <c r="B411" s="9"/>
      <c r="I411" s="9"/>
      <c r="J411" s="9"/>
      <c r="O411" s="5"/>
    </row>
    <row r="412" spans="2:15" x14ac:dyDescent="0.3">
      <c r="B412" s="9"/>
      <c r="I412" s="9"/>
      <c r="J412" s="9"/>
      <c r="O412" s="5"/>
    </row>
    <row r="413" spans="2:15" x14ac:dyDescent="0.3">
      <c r="B413" s="9"/>
      <c r="I413" s="9"/>
      <c r="J413" s="9"/>
      <c r="O413" s="5"/>
    </row>
    <row r="414" spans="2:15" x14ac:dyDescent="0.3">
      <c r="B414" s="9"/>
      <c r="I414" s="9"/>
      <c r="J414" s="9"/>
      <c r="O414" s="5"/>
    </row>
    <row r="415" spans="2:15" x14ac:dyDescent="0.3">
      <c r="B415" s="9"/>
      <c r="I415" s="9"/>
      <c r="J415" s="9"/>
      <c r="O415" s="5"/>
    </row>
    <row r="416" spans="2:15" x14ac:dyDescent="0.3">
      <c r="B416" s="9"/>
      <c r="I416" s="9"/>
      <c r="J416" s="9"/>
      <c r="O416" s="5"/>
    </row>
    <row r="417" spans="2:15" x14ac:dyDescent="0.3">
      <c r="B417" s="9"/>
      <c r="I417" s="9"/>
      <c r="J417" s="9"/>
      <c r="O417" s="5"/>
    </row>
    <row r="418" spans="2:15" x14ac:dyDescent="0.3">
      <c r="B418" s="9"/>
      <c r="I418" s="9"/>
      <c r="J418" s="9"/>
      <c r="O418" s="5"/>
    </row>
    <row r="419" spans="2:15" x14ac:dyDescent="0.3">
      <c r="B419" s="9"/>
      <c r="I419" s="9"/>
      <c r="J419" s="9"/>
      <c r="O419" s="5"/>
    </row>
    <row r="420" spans="2:15" x14ac:dyDescent="0.3">
      <c r="B420" s="9"/>
      <c r="I420" s="9"/>
      <c r="J420" s="9"/>
      <c r="O420" s="5"/>
    </row>
    <row r="421" spans="2:15" x14ac:dyDescent="0.3">
      <c r="B421" s="9"/>
      <c r="I421" s="9"/>
      <c r="J421" s="9"/>
      <c r="O421" s="5"/>
    </row>
    <row r="422" spans="2:15" x14ac:dyDescent="0.3">
      <c r="B422" s="9"/>
      <c r="I422" s="9"/>
      <c r="J422" s="9"/>
      <c r="O422" s="5"/>
    </row>
    <row r="423" spans="2:15" x14ac:dyDescent="0.3">
      <c r="B423" s="9"/>
      <c r="I423" s="9"/>
      <c r="J423" s="9"/>
      <c r="O423" s="5"/>
    </row>
    <row r="424" spans="2:15" x14ac:dyDescent="0.3">
      <c r="B424" s="9"/>
      <c r="I424" s="9"/>
      <c r="J424" s="9"/>
      <c r="O424" s="5"/>
    </row>
    <row r="425" spans="2:15" x14ac:dyDescent="0.3">
      <c r="B425" s="9"/>
      <c r="I425" s="9"/>
      <c r="J425" s="9"/>
      <c r="O425" s="5"/>
    </row>
    <row r="426" spans="2:15" x14ac:dyDescent="0.3">
      <c r="B426" s="9"/>
      <c r="I426" s="9"/>
      <c r="J426" s="9"/>
      <c r="O426" s="5"/>
    </row>
    <row r="427" spans="2:15" x14ac:dyDescent="0.3">
      <c r="B427" s="9"/>
      <c r="I427" s="9"/>
      <c r="J427" s="9"/>
      <c r="O427" s="5"/>
    </row>
    <row r="428" spans="2:15" x14ac:dyDescent="0.3">
      <c r="B428" s="9"/>
      <c r="I428" s="9"/>
      <c r="J428" s="9"/>
      <c r="O428" s="5"/>
    </row>
    <row r="429" spans="2:15" x14ac:dyDescent="0.3">
      <c r="B429" s="9"/>
      <c r="I429" s="9"/>
      <c r="J429" s="9"/>
      <c r="O429" s="5"/>
    </row>
    <row r="430" spans="2:15" x14ac:dyDescent="0.3">
      <c r="B430" s="9"/>
      <c r="I430" s="9"/>
      <c r="J430" s="9"/>
      <c r="O430" s="5"/>
    </row>
    <row r="431" spans="2:15" x14ac:dyDescent="0.3">
      <c r="B431" s="9"/>
      <c r="I431" s="9"/>
      <c r="J431" s="9"/>
      <c r="O431" s="5"/>
    </row>
    <row r="432" spans="2:15" x14ac:dyDescent="0.3">
      <c r="B432" s="9"/>
      <c r="I432" s="9"/>
      <c r="J432" s="9"/>
      <c r="O432" s="5"/>
    </row>
    <row r="433" spans="2:15" x14ac:dyDescent="0.3">
      <c r="B433" s="9"/>
      <c r="I433" s="9"/>
      <c r="J433" s="9"/>
      <c r="O433" s="5"/>
    </row>
    <row r="434" spans="2:15" x14ac:dyDescent="0.3">
      <c r="B434" s="9"/>
      <c r="I434" s="9"/>
      <c r="J434" s="9"/>
      <c r="O434" s="5"/>
    </row>
    <row r="435" spans="2:15" x14ac:dyDescent="0.3">
      <c r="B435" s="9"/>
      <c r="I435" s="9"/>
      <c r="J435" s="9"/>
      <c r="O435" s="5"/>
    </row>
    <row r="436" spans="2:15" x14ac:dyDescent="0.3">
      <c r="B436" s="9"/>
      <c r="I436" s="9"/>
      <c r="J436" s="9"/>
      <c r="O436" s="5"/>
    </row>
    <row r="437" spans="2:15" x14ac:dyDescent="0.3">
      <c r="B437" s="9"/>
      <c r="I437" s="9"/>
      <c r="J437" s="9"/>
      <c r="O437" s="5"/>
    </row>
    <row r="438" spans="2:15" x14ac:dyDescent="0.3">
      <c r="B438" s="9"/>
      <c r="I438" s="9"/>
      <c r="J438" s="9"/>
      <c r="O438" s="5"/>
    </row>
    <row r="439" spans="2:15" x14ac:dyDescent="0.3">
      <c r="B439" s="9"/>
      <c r="I439" s="9"/>
      <c r="J439" s="9"/>
      <c r="O439" s="5"/>
    </row>
    <row r="440" spans="2:15" x14ac:dyDescent="0.3">
      <c r="B440" s="9"/>
      <c r="I440" s="9"/>
      <c r="J440" s="9"/>
      <c r="O440" s="5"/>
    </row>
    <row r="441" spans="2:15" x14ac:dyDescent="0.3">
      <c r="B441" s="9"/>
      <c r="I441" s="9"/>
      <c r="J441" s="9"/>
      <c r="O441" s="5"/>
    </row>
    <row r="442" spans="2:15" x14ac:dyDescent="0.3">
      <c r="B442" s="9"/>
      <c r="I442" s="9"/>
      <c r="J442" s="9"/>
      <c r="O442" s="5"/>
    </row>
    <row r="443" spans="2:15" x14ac:dyDescent="0.3">
      <c r="B443" s="9"/>
      <c r="I443" s="9"/>
      <c r="J443" s="9"/>
      <c r="O443" s="5"/>
    </row>
    <row r="444" spans="2:15" x14ac:dyDescent="0.3">
      <c r="B444" s="9"/>
      <c r="I444" s="9"/>
      <c r="J444" s="9"/>
      <c r="O444" s="5"/>
    </row>
    <row r="445" spans="2:15" x14ac:dyDescent="0.3">
      <c r="B445" s="9"/>
      <c r="I445" s="9"/>
      <c r="J445" s="9"/>
      <c r="O445" s="5"/>
    </row>
    <row r="446" spans="2:15" x14ac:dyDescent="0.3">
      <c r="B446" s="9"/>
      <c r="I446" s="9"/>
      <c r="J446" s="9"/>
      <c r="O446" s="5"/>
    </row>
    <row r="447" spans="2:15" x14ac:dyDescent="0.3">
      <c r="B447" s="9"/>
      <c r="I447" s="9"/>
      <c r="J447" s="9"/>
      <c r="O447" s="5"/>
    </row>
    <row r="448" spans="2:15" x14ac:dyDescent="0.3">
      <c r="B448" s="9"/>
      <c r="I448" s="9"/>
      <c r="J448" s="9"/>
      <c r="O448" s="5"/>
    </row>
    <row r="449" spans="2:15" x14ac:dyDescent="0.3">
      <c r="B449" s="9"/>
      <c r="I449" s="9"/>
      <c r="J449" s="9"/>
      <c r="O449" s="5"/>
    </row>
    <row r="450" spans="2:15" x14ac:dyDescent="0.3">
      <c r="B450" s="9"/>
      <c r="I450" s="9"/>
      <c r="J450" s="9"/>
      <c r="O450" s="5"/>
    </row>
    <row r="451" spans="2:15" x14ac:dyDescent="0.3">
      <c r="B451" s="9"/>
      <c r="I451" s="9"/>
      <c r="J451" s="9"/>
      <c r="O451" s="5"/>
    </row>
    <row r="452" spans="2:15" x14ac:dyDescent="0.3">
      <c r="B452" s="9"/>
      <c r="I452" s="9"/>
      <c r="J452" s="9"/>
      <c r="O452" s="5"/>
    </row>
    <row r="453" spans="2:15" x14ac:dyDescent="0.3">
      <c r="B453" s="9"/>
      <c r="I453" s="9"/>
      <c r="J453" s="9"/>
      <c r="O453" s="5"/>
    </row>
    <row r="454" spans="2:15" x14ac:dyDescent="0.3">
      <c r="B454" s="9"/>
      <c r="I454" s="9"/>
      <c r="J454" s="9"/>
      <c r="O454" s="5"/>
    </row>
    <row r="455" spans="2:15" x14ac:dyDescent="0.3">
      <c r="B455" s="9"/>
      <c r="I455" s="9"/>
      <c r="J455" s="9"/>
      <c r="O455" s="5"/>
    </row>
    <row r="456" spans="2:15" x14ac:dyDescent="0.3">
      <c r="B456" s="9"/>
      <c r="I456" s="9"/>
      <c r="J456" s="9"/>
      <c r="O456" s="5"/>
    </row>
    <row r="457" spans="2:15" x14ac:dyDescent="0.3">
      <c r="B457" s="9"/>
      <c r="I457" s="9"/>
      <c r="J457" s="9"/>
      <c r="O457" s="5"/>
    </row>
    <row r="458" spans="2:15" x14ac:dyDescent="0.3">
      <c r="B458" s="9"/>
      <c r="I458" s="9"/>
      <c r="J458" s="9"/>
      <c r="O458" s="5"/>
    </row>
    <row r="459" spans="2:15" x14ac:dyDescent="0.3">
      <c r="B459" s="9"/>
      <c r="I459" s="9"/>
      <c r="J459" s="9"/>
      <c r="O459" s="5"/>
    </row>
    <row r="460" spans="2:15" x14ac:dyDescent="0.3">
      <c r="B460" s="9"/>
      <c r="I460" s="9"/>
      <c r="J460" s="9"/>
      <c r="O460" s="5"/>
    </row>
    <row r="461" spans="2:15" x14ac:dyDescent="0.3">
      <c r="B461" s="9"/>
      <c r="I461" s="9"/>
      <c r="J461" s="9"/>
      <c r="O461" s="5"/>
    </row>
    <row r="462" spans="2:15" x14ac:dyDescent="0.3">
      <c r="B462" s="9"/>
      <c r="I462" s="9"/>
      <c r="J462" s="9"/>
      <c r="O462" s="5"/>
    </row>
    <row r="463" spans="2:15" x14ac:dyDescent="0.3">
      <c r="B463" s="9"/>
      <c r="I463" s="9"/>
      <c r="J463" s="9"/>
      <c r="O463" s="5"/>
    </row>
    <row r="464" spans="2:15" x14ac:dyDescent="0.3">
      <c r="B464" s="9"/>
      <c r="I464" s="9"/>
      <c r="J464" s="9"/>
      <c r="O464" s="5"/>
    </row>
    <row r="465" spans="2:15" x14ac:dyDescent="0.3">
      <c r="B465" s="9"/>
      <c r="I465" s="9"/>
      <c r="J465" s="9"/>
      <c r="O465" s="5"/>
    </row>
    <row r="466" spans="2:15" x14ac:dyDescent="0.3">
      <c r="B466" s="9"/>
      <c r="I466" s="9"/>
      <c r="J466" s="9"/>
      <c r="O466" s="5"/>
    </row>
    <row r="467" spans="2:15" x14ac:dyDescent="0.3">
      <c r="B467" s="9"/>
      <c r="I467" s="9"/>
      <c r="J467" s="9"/>
      <c r="O467" s="5"/>
    </row>
    <row r="468" spans="2:15" x14ac:dyDescent="0.3">
      <c r="B468" s="9"/>
      <c r="I468" s="9"/>
      <c r="J468" s="9"/>
      <c r="O468" s="5"/>
    </row>
    <row r="469" spans="2:15" x14ac:dyDescent="0.3">
      <c r="B469" s="9"/>
      <c r="I469" s="9"/>
      <c r="J469" s="9"/>
      <c r="O469" s="5"/>
    </row>
    <row r="470" spans="2:15" x14ac:dyDescent="0.3">
      <c r="B470" s="9"/>
      <c r="I470" s="9"/>
      <c r="J470" s="9"/>
      <c r="O470" s="5"/>
    </row>
    <row r="471" spans="2:15" x14ac:dyDescent="0.3">
      <c r="B471" s="9"/>
      <c r="I471" s="9"/>
      <c r="J471" s="9"/>
      <c r="O471" s="5"/>
    </row>
    <row r="472" spans="2:15" x14ac:dyDescent="0.3">
      <c r="B472" s="9"/>
      <c r="I472" s="9"/>
      <c r="J472" s="9"/>
      <c r="O472" s="5"/>
    </row>
    <row r="473" spans="2:15" x14ac:dyDescent="0.3">
      <c r="B473" s="9"/>
      <c r="I473" s="9"/>
      <c r="J473" s="9"/>
      <c r="O473" s="5"/>
    </row>
    <row r="474" spans="2:15" x14ac:dyDescent="0.3">
      <c r="B474" s="9"/>
      <c r="I474" s="9"/>
      <c r="J474" s="9"/>
      <c r="O474" s="5"/>
    </row>
    <row r="475" spans="2:15" x14ac:dyDescent="0.3">
      <c r="B475" s="9"/>
      <c r="I475" s="9"/>
      <c r="J475" s="9"/>
      <c r="O475" s="5"/>
    </row>
    <row r="476" spans="2:15" x14ac:dyDescent="0.3">
      <c r="B476" s="9"/>
      <c r="I476" s="9"/>
      <c r="J476" s="9"/>
      <c r="O476" s="5"/>
    </row>
    <row r="477" spans="2:15" x14ac:dyDescent="0.3">
      <c r="B477" s="9"/>
      <c r="I477" s="9"/>
      <c r="J477" s="9"/>
      <c r="O477" s="5"/>
    </row>
    <row r="478" spans="2:15" x14ac:dyDescent="0.3">
      <c r="B478" s="9"/>
      <c r="I478" s="9"/>
      <c r="J478" s="9"/>
      <c r="O478" s="5"/>
    </row>
    <row r="479" spans="2:15" x14ac:dyDescent="0.3">
      <c r="B479" s="9"/>
      <c r="I479" s="9"/>
      <c r="J479" s="9"/>
      <c r="O479" s="5"/>
    </row>
    <row r="480" spans="2:15" x14ac:dyDescent="0.3">
      <c r="B480" s="9"/>
      <c r="I480" s="9"/>
      <c r="J480" s="9"/>
      <c r="O480" s="5"/>
    </row>
    <row r="481" spans="2:15" x14ac:dyDescent="0.3">
      <c r="B481" s="9"/>
      <c r="I481" s="9"/>
      <c r="J481" s="9"/>
      <c r="O481" s="5"/>
    </row>
    <row r="482" spans="2:15" x14ac:dyDescent="0.3">
      <c r="B482" s="9"/>
      <c r="I482" s="9"/>
      <c r="J482" s="9"/>
      <c r="O482" s="5"/>
    </row>
    <row r="483" spans="2:15" x14ac:dyDescent="0.3">
      <c r="B483" s="9"/>
      <c r="I483" s="9"/>
      <c r="J483" s="9"/>
      <c r="O483" s="5"/>
    </row>
    <row r="484" spans="2:15" x14ac:dyDescent="0.3">
      <c r="B484" s="9"/>
      <c r="I484" s="9"/>
      <c r="J484" s="9"/>
      <c r="O484" s="5"/>
    </row>
    <row r="485" spans="2:15" x14ac:dyDescent="0.3">
      <c r="B485" s="9"/>
      <c r="I485" s="9"/>
      <c r="J485" s="9"/>
      <c r="O485" s="5"/>
    </row>
    <row r="486" spans="2:15" x14ac:dyDescent="0.3">
      <c r="B486" s="9"/>
      <c r="I486" s="9"/>
      <c r="J486" s="9"/>
      <c r="O486" s="5"/>
    </row>
    <row r="487" spans="2:15" x14ac:dyDescent="0.3">
      <c r="B487" s="9"/>
      <c r="I487" s="9"/>
      <c r="J487" s="9"/>
      <c r="O487" s="5"/>
    </row>
    <row r="488" spans="2:15" x14ac:dyDescent="0.3">
      <c r="B488" s="9"/>
      <c r="I488" s="9"/>
      <c r="J488" s="9"/>
      <c r="O488" s="5"/>
    </row>
    <row r="489" spans="2:15" x14ac:dyDescent="0.3">
      <c r="B489" s="9"/>
      <c r="I489" s="9"/>
      <c r="J489" s="9"/>
      <c r="O489" s="5"/>
    </row>
    <row r="490" spans="2:15" x14ac:dyDescent="0.3">
      <c r="B490" s="9"/>
      <c r="I490" s="9"/>
      <c r="J490" s="9"/>
      <c r="O490" s="5"/>
    </row>
    <row r="491" spans="2:15" x14ac:dyDescent="0.3">
      <c r="B491" s="9"/>
      <c r="I491" s="9"/>
      <c r="J491" s="9"/>
      <c r="O491" s="5"/>
    </row>
    <row r="492" spans="2:15" x14ac:dyDescent="0.3">
      <c r="B492" s="9"/>
      <c r="I492" s="9"/>
      <c r="J492" s="9"/>
      <c r="O492" s="5"/>
    </row>
    <row r="493" spans="2:15" x14ac:dyDescent="0.3">
      <c r="B493" s="9"/>
      <c r="I493" s="9"/>
      <c r="J493" s="9"/>
      <c r="O493" s="5"/>
    </row>
    <row r="494" spans="2:15" x14ac:dyDescent="0.3">
      <c r="B494" s="9"/>
      <c r="I494" s="9"/>
      <c r="J494" s="9"/>
      <c r="O494" s="5"/>
    </row>
    <row r="495" spans="2:15" x14ac:dyDescent="0.3">
      <c r="B495" s="9"/>
      <c r="I495" s="9"/>
      <c r="J495" s="9"/>
      <c r="O495" s="5"/>
    </row>
    <row r="496" spans="2:15" x14ac:dyDescent="0.3">
      <c r="B496" s="9"/>
      <c r="I496" s="9"/>
      <c r="J496" s="9"/>
      <c r="O496" s="5"/>
    </row>
    <row r="497" spans="2:15" x14ac:dyDescent="0.3">
      <c r="B497" s="9"/>
      <c r="I497" s="9"/>
      <c r="J497" s="9"/>
      <c r="O497" s="5"/>
    </row>
    <row r="498" spans="2:15" x14ac:dyDescent="0.3">
      <c r="B498" s="9"/>
      <c r="I498" s="9"/>
      <c r="J498" s="9"/>
      <c r="O498" s="5"/>
    </row>
    <row r="499" spans="2:15" x14ac:dyDescent="0.3">
      <c r="B499" s="9"/>
      <c r="I499" s="9"/>
      <c r="J499" s="9"/>
      <c r="O499" s="5"/>
    </row>
    <row r="500" spans="2:15" x14ac:dyDescent="0.3">
      <c r="B500" s="9"/>
      <c r="I500" s="9"/>
      <c r="J500" s="9"/>
      <c r="O500" s="5"/>
    </row>
    <row r="501" spans="2:15" x14ac:dyDescent="0.3">
      <c r="B501" s="9"/>
      <c r="I501" s="9"/>
      <c r="J501" s="9"/>
      <c r="O501" s="5"/>
    </row>
    <row r="502" spans="2:15" x14ac:dyDescent="0.3">
      <c r="B502" s="9"/>
      <c r="I502" s="9"/>
      <c r="J502" s="9"/>
      <c r="O502" s="5"/>
    </row>
    <row r="503" spans="2:15" x14ac:dyDescent="0.3">
      <c r="B503" s="9"/>
      <c r="I503" s="9"/>
      <c r="J503" s="9"/>
      <c r="O503" s="5"/>
    </row>
    <row r="504" spans="2:15" x14ac:dyDescent="0.3">
      <c r="B504" s="9"/>
      <c r="I504" s="9"/>
      <c r="J504" s="9"/>
      <c r="O504" s="5"/>
    </row>
    <row r="505" spans="2:15" x14ac:dyDescent="0.3">
      <c r="B505" s="9"/>
      <c r="I505" s="9"/>
      <c r="J505" s="9"/>
      <c r="O505" s="5"/>
    </row>
    <row r="506" spans="2:15" x14ac:dyDescent="0.3">
      <c r="B506" s="9"/>
      <c r="I506" s="9"/>
      <c r="J506" s="9"/>
      <c r="O506" s="5"/>
    </row>
    <row r="507" spans="2:15" x14ac:dyDescent="0.3">
      <c r="B507" s="9"/>
      <c r="I507" s="9"/>
      <c r="J507" s="9"/>
      <c r="O507" s="5"/>
    </row>
    <row r="508" spans="2:15" x14ac:dyDescent="0.3">
      <c r="B508" s="9"/>
      <c r="I508" s="9"/>
      <c r="J508" s="9"/>
      <c r="O508" s="5"/>
    </row>
    <row r="509" spans="2:15" x14ac:dyDescent="0.3">
      <c r="B509" s="9"/>
      <c r="I509" s="9"/>
      <c r="J509" s="9"/>
      <c r="O509" s="5"/>
    </row>
    <row r="510" spans="2:15" x14ac:dyDescent="0.3">
      <c r="B510" s="9"/>
      <c r="I510" s="9"/>
      <c r="J510" s="9"/>
      <c r="O510" s="5"/>
    </row>
    <row r="511" spans="2:15" x14ac:dyDescent="0.3">
      <c r="B511" s="9"/>
      <c r="I511" s="9"/>
      <c r="J511" s="9"/>
      <c r="O511" s="5"/>
    </row>
    <row r="512" spans="2:15" x14ac:dyDescent="0.3">
      <c r="B512" s="9"/>
      <c r="I512" s="9"/>
      <c r="J512" s="9"/>
      <c r="O512" s="5"/>
    </row>
    <row r="513" spans="2:15" x14ac:dyDescent="0.3">
      <c r="B513" s="9"/>
      <c r="I513" s="9"/>
      <c r="J513" s="9"/>
      <c r="O513" s="5"/>
    </row>
    <row r="514" spans="2:15" x14ac:dyDescent="0.3">
      <c r="B514" s="9"/>
      <c r="I514" s="9"/>
      <c r="J514" s="9"/>
      <c r="O514" s="5"/>
    </row>
    <row r="515" spans="2:15" x14ac:dyDescent="0.3">
      <c r="B515" s="9"/>
      <c r="I515" s="9"/>
      <c r="J515" s="9"/>
      <c r="O515" s="5"/>
    </row>
    <row r="516" spans="2:15" x14ac:dyDescent="0.3">
      <c r="B516" s="9"/>
      <c r="I516" s="9"/>
      <c r="J516" s="9"/>
      <c r="O516" s="5"/>
    </row>
    <row r="517" spans="2:15" x14ac:dyDescent="0.3">
      <c r="B517" s="9"/>
      <c r="I517" s="9"/>
      <c r="J517" s="9"/>
      <c r="O517" s="5"/>
    </row>
    <row r="518" spans="2:15" x14ac:dyDescent="0.3">
      <c r="B518" s="9"/>
      <c r="I518" s="9"/>
      <c r="J518" s="9"/>
      <c r="O518" s="5"/>
    </row>
    <row r="519" spans="2:15" x14ac:dyDescent="0.3">
      <c r="B519" s="9"/>
      <c r="I519" s="9"/>
      <c r="J519" s="9"/>
      <c r="O519" s="5"/>
    </row>
    <row r="520" spans="2:15" x14ac:dyDescent="0.3">
      <c r="B520" s="9"/>
      <c r="I520" s="9"/>
      <c r="J520" s="9"/>
      <c r="O520" s="5"/>
    </row>
    <row r="521" spans="2:15" x14ac:dyDescent="0.3">
      <c r="B521" s="9"/>
      <c r="I521" s="9"/>
      <c r="J521" s="9"/>
      <c r="O521" s="5"/>
    </row>
    <row r="522" spans="2:15" x14ac:dyDescent="0.3">
      <c r="B522" s="9"/>
      <c r="I522" s="9"/>
      <c r="J522" s="9"/>
      <c r="O522" s="5"/>
    </row>
    <row r="523" spans="2:15" x14ac:dyDescent="0.3">
      <c r="B523" s="9"/>
      <c r="I523" s="9"/>
      <c r="J523" s="9"/>
      <c r="O523" s="5"/>
    </row>
    <row r="524" spans="2:15" x14ac:dyDescent="0.3">
      <c r="B524" s="9"/>
      <c r="I524" s="9"/>
      <c r="J524" s="9"/>
      <c r="O524" s="5"/>
    </row>
    <row r="525" spans="2:15" x14ac:dyDescent="0.3">
      <c r="B525" s="9"/>
      <c r="I525" s="9"/>
      <c r="J525" s="9"/>
      <c r="O525" s="5"/>
    </row>
    <row r="526" spans="2:15" x14ac:dyDescent="0.3">
      <c r="B526" s="9"/>
      <c r="I526" s="9"/>
      <c r="J526" s="9"/>
      <c r="O526" s="5"/>
    </row>
    <row r="527" spans="2:15" x14ac:dyDescent="0.3">
      <c r="B527" s="9"/>
      <c r="I527" s="9"/>
      <c r="J527" s="9"/>
      <c r="O527" s="5"/>
    </row>
    <row r="528" spans="2:15" x14ac:dyDescent="0.3">
      <c r="B528" s="9"/>
      <c r="I528" s="9"/>
      <c r="J528" s="9"/>
      <c r="O528" s="5"/>
    </row>
    <row r="529" spans="2:15" x14ac:dyDescent="0.3">
      <c r="B529" s="9"/>
      <c r="I529" s="9"/>
      <c r="J529" s="9"/>
      <c r="O529" s="5"/>
    </row>
    <row r="530" spans="2:15" x14ac:dyDescent="0.3">
      <c r="B530" s="9"/>
      <c r="I530" s="9"/>
      <c r="J530" s="9"/>
      <c r="O530" s="5"/>
    </row>
    <row r="531" spans="2:15" x14ac:dyDescent="0.3">
      <c r="B531" s="9"/>
      <c r="I531" s="9"/>
      <c r="J531" s="9"/>
      <c r="O531" s="5"/>
    </row>
    <row r="532" spans="2:15" x14ac:dyDescent="0.3">
      <c r="B532" s="9"/>
      <c r="I532" s="9"/>
      <c r="J532" s="9"/>
      <c r="O532" s="5"/>
    </row>
    <row r="533" spans="2:15" x14ac:dyDescent="0.3">
      <c r="B533" s="9"/>
      <c r="I533" s="9"/>
      <c r="J533" s="9"/>
      <c r="O533" s="5"/>
    </row>
    <row r="534" spans="2:15" x14ac:dyDescent="0.3">
      <c r="B534" s="9"/>
      <c r="I534" s="9"/>
      <c r="J534" s="9"/>
      <c r="O534" s="5"/>
    </row>
    <row r="535" spans="2:15" x14ac:dyDescent="0.3">
      <c r="B535" s="9"/>
      <c r="I535" s="9"/>
      <c r="J535" s="9"/>
      <c r="O535" s="5"/>
    </row>
    <row r="536" spans="2:15" x14ac:dyDescent="0.3">
      <c r="B536" s="9"/>
      <c r="I536" s="9"/>
      <c r="J536" s="9"/>
      <c r="O536" s="5"/>
    </row>
    <row r="537" spans="2:15" x14ac:dyDescent="0.3">
      <c r="B537" s="9"/>
      <c r="I537" s="9"/>
      <c r="J537" s="9"/>
      <c r="O537" s="5"/>
    </row>
    <row r="538" spans="2:15" x14ac:dyDescent="0.3">
      <c r="B538" s="9"/>
      <c r="I538" s="9"/>
      <c r="J538" s="9"/>
      <c r="O538" s="5"/>
    </row>
    <row r="539" spans="2:15" x14ac:dyDescent="0.3">
      <c r="B539" s="9"/>
      <c r="I539" s="9"/>
      <c r="J539" s="9"/>
      <c r="O539" s="5"/>
    </row>
    <row r="540" spans="2:15" x14ac:dyDescent="0.3">
      <c r="B540" s="9"/>
      <c r="I540" s="9"/>
      <c r="J540" s="9"/>
      <c r="O540" s="5"/>
    </row>
    <row r="541" spans="2:15" x14ac:dyDescent="0.3">
      <c r="B541" s="9"/>
      <c r="I541" s="9"/>
      <c r="J541" s="9"/>
      <c r="O541" s="5"/>
    </row>
    <row r="542" spans="2:15" x14ac:dyDescent="0.3">
      <c r="B542" s="9"/>
      <c r="I542" s="9"/>
      <c r="J542" s="9"/>
      <c r="O542" s="5"/>
    </row>
    <row r="543" spans="2:15" x14ac:dyDescent="0.3">
      <c r="B543" s="9"/>
      <c r="I543" s="9"/>
      <c r="J543" s="9"/>
      <c r="O543" s="5"/>
    </row>
    <row r="544" spans="2:15" x14ac:dyDescent="0.3">
      <c r="B544" s="9"/>
      <c r="I544" s="9"/>
      <c r="J544" s="9"/>
      <c r="O544" s="5"/>
    </row>
    <row r="545" spans="2:15" x14ac:dyDescent="0.3">
      <c r="B545" s="9"/>
      <c r="I545" s="9"/>
      <c r="J545" s="9"/>
      <c r="O545" s="5"/>
    </row>
    <row r="546" spans="2:15" x14ac:dyDescent="0.3">
      <c r="B546" s="9"/>
      <c r="I546" s="9"/>
      <c r="J546" s="9"/>
      <c r="O546" s="5"/>
    </row>
    <row r="547" spans="2:15" x14ac:dyDescent="0.3">
      <c r="B547" s="9"/>
      <c r="I547" s="9"/>
      <c r="J547" s="9"/>
      <c r="O547" s="5"/>
    </row>
    <row r="548" spans="2:15" x14ac:dyDescent="0.3">
      <c r="B548" s="9"/>
      <c r="I548" s="9"/>
      <c r="J548" s="9"/>
      <c r="O548" s="5"/>
    </row>
    <row r="549" spans="2:15" x14ac:dyDescent="0.3">
      <c r="B549" s="9"/>
      <c r="I549" s="9"/>
      <c r="J549" s="9"/>
      <c r="O549" s="5"/>
    </row>
    <row r="550" spans="2:15" x14ac:dyDescent="0.3">
      <c r="B550" s="9"/>
      <c r="I550" s="9"/>
      <c r="J550" s="9"/>
      <c r="O550" s="5"/>
    </row>
    <row r="551" spans="2:15" x14ac:dyDescent="0.3">
      <c r="B551" s="9"/>
      <c r="I551" s="9"/>
      <c r="J551" s="9"/>
      <c r="O551" s="5"/>
    </row>
    <row r="552" spans="2:15" x14ac:dyDescent="0.3">
      <c r="B552" s="9"/>
      <c r="I552" s="9"/>
      <c r="J552" s="9"/>
      <c r="O552" s="5"/>
    </row>
    <row r="553" spans="2:15" x14ac:dyDescent="0.3">
      <c r="B553" s="9"/>
      <c r="I553" s="9"/>
      <c r="J553" s="9"/>
      <c r="O553" s="5"/>
    </row>
    <row r="554" spans="2:15" x14ac:dyDescent="0.3">
      <c r="B554" s="9"/>
      <c r="I554" s="9"/>
      <c r="J554" s="9"/>
      <c r="O554" s="5"/>
    </row>
    <row r="555" spans="2:15" x14ac:dyDescent="0.3">
      <c r="B555" s="9"/>
      <c r="I555" s="9"/>
      <c r="J555" s="9"/>
      <c r="O555" s="5"/>
    </row>
    <row r="556" spans="2:15" x14ac:dyDescent="0.3">
      <c r="B556" s="9"/>
      <c r="I556" s="9"/>
      <c r="J556" s="9"/>
      <c r="O556" s="5"/>
    </row>
    <row r="557" spans="2:15" x14ac:dyDescent="0.3">
      <c r="B557" s="9"/>
      <c r="I557" s="9"/>
      <c r="J557" s="9"/>
      <c r="O557" s="5"/>
    </row>
    <row r="558" spans="2:15" x14ac:dyDescent="0.3">
      <c r="B558" s="9"/>
      <c r="I558" s="9"/>
      <c r="J558" s="9"/>
      <c r="O558" s="5"/>
    </row>
    <row r="559" spans="2:15" x14ac:dyDescent="0.3">
      <c r="B559" s="9"/>
      <c r="I559" s="9"/>
      <c r="J559" s="9"/>
      <c r="O559" s="5"/>
    </row>
    <row r="560" spans="2:15" x14ac:dyDescent="0.3">
      <c r="B560" s="9"/>
      <c r="I560" s="9"/>
      <c r="J560" s="9"/>
      <c r="O560" s="5"/>
    </row>
    <row r="561" spans="2:15" x14ac:dyDescent="0.3">
      <c r="B561" s="9"/>
      <c r="I561" s="9"/>
      <c r="J561" s="9"/>
      <c r="O561" s="5"/>
    </row>
    <row r="562" spans="2:15" x14ac:dyDescent="0.3">
      <c r="B562" s="9"/>
      <c r="I562" s="9"/>
      <c r="J562" s="9"/>
      <c r="O562" s="5"/>
    </row>
    <row r="563" spans="2:15" x14ac:dyDescent="0.3">
      <c r="B563" s="9"/>
      <c r="I563" s="9"/>
      <c r="J563" s="9"/>
      <c r="O563" s="5"/>
    </row>
    <row r="564" spans="2:15" x14ac:dyDescent="0.3">
      <c r="B564" s="9"/>
      <c r="I564" s="9"/>
      <c r="J564" s="9"/>
      <c r="O564" s="5"/>
    </row>
    <row r="565" spans="2:15" x14ac:dyDescent="0.3">
      <c r="B565" s="9"/>
      <c r="I565" s="9"/>
      <c r="J565" s="9"/>
      <c r="O565" s="5"/>
    </row>
    <row r="566" spans="2:15" x14ac:dyDescent="0.3">
      <c r="B566" s="9"/>
      <c r="I566" s="9"/>
      <c r="J566" s="9"/>
      <c r="O566" s="5"/>
    </row>
    <row r="567" spans="2:15" x14ac:dyDescent="0.3">
      <c r="B567" s="9"/>
      <c r="I567" s="9"/>
      <c r="J567" s="9"/>
      <c r="O567" s="5"/>
    </row>
    <row r="568" spans="2:15" x14ac:dyDescent="0.3">
      <c r="B568" s="9"/>
      <c r="I568" s="9"/>
      <c r="J568" s="9"/>
      <c r="O568" s="5"/>
    </row>
    <row r="569" spans="2:15" x14ac:dyDescent="0.3">
      <c r="B569" s="9"/>
      <c r="I569" s="9"/>
      <c r="J569" s="9"/>
      <c r="O569" s="5"/>
    </row>
    <row r="570" spans="2:15" x14ac:dyDescent="0.3">
      <c r="B570" s="9"/>
      <c r="I570" s="9"/>
      <c r="J570" s="9"/>
      <c r="O570" s="5"/>
    </row>
    <row r="571" spans="2:15" x14ac:dyDescent="0.3">
      <c r="B571" s="9"/>
      <c r="I571" s="9"/>
      <c r="J571" s="9"/>
      <c r="O571" s="5"/>
    </row>
    <row r="572" spans="2:15" x14ac:dyDescent="0.3">
      <c r="B572" s="9"/>
      <c r="I572" s="9"/>
      <c r="J572" s="9"/>
      <c r="O572" s="5"/>
    </row>
    <row r="573" spans="2:15" x14ac:dyDescent="0.3">
      <c r="B573" s="9"/>
      <c r="I573" s="9"/>
      <c r="J573" s="9"/>
      <c r="O573" s="5"/>
    </row>
    <row r="574" spans="2:15" x14ac:dyDescent="0.3">
      <c r="B574" s="9"/>
      <c r="I574" s="9"/>
      <c r="J574" s="9"/>
      <c r="O574" s="5"/>
    </row>
    <row r="575" spans="2:15" x14ac:dyDescent="0.3">
      <c r="B575" s="9"/>
      <c r="I575" s="9"/>
      <c r="J575" s="9"/>
      <c r="O575" s="5"/>
    </row>
    <row r="576" spans="2:15" x14ac:dyDescent="0.3">
      <c r="B576" s="9"/>
      <c r="I576" s="9"/>
      <c r="J576" s="9"/>
      <c r="O576" s="5"/>
    </row>
    <row r="577" spans="2:15" x14ac:dyDescent="0.3">
      <c r="B577" s="9"/>
      <c r="I577" s="9"/>
      <c r="J577" s="9"/>
      <c r="O577" s="5"/>
    </row>
    <row r="578" spans="2:15" x14ac:dyDescent="0.3">
      <c r="B578" s="9"/>
      <c r="I578" s="9"/>
      <c r="J578" s="9"/>
      <c r="O578" s="5"/>
    </row>
    <row r="579" spans="2:15" x14ac:dyDescent="0.3">
      <c r="B579" s="9"/>
      <c r="I579" s="9"/>
      <c r="J579" s="9"/>
      <c r="O579" s="5"/>
    </row>
    <row r="580" spans="2:15" x14ac:dyDescent="0.3">
      <c r="B580" s="9"/>
      <c r="I580" s="9"/>
      <c r="J580" s="9"/>
      <c r="O580" s="5"/>
    </row>
    <row r="581" spans="2:15" x14ac:dyDescent="0.3">
      <c r="B581" s="9"/>
      <c r="I581" s="9"/>
      <c r="J581" s="9"/>
      <c r="O581" s="5"/>
    </row>
    <row r="582" spans="2:15" x14ac:dyDescent="0.3">
      <c r="B582" s="9"/>
      <c r="I582" s="9"/>
      <c r="J582" s="9"/>
      <c r="O582" s="5"/>
    </row>
    <row r="583" spans="2:15" x14ac:dyDescent="0.3">
      <c r="B583" s="9"/>
      <c r="I583" s="9"/>
      <c r="J583" s="9"/>
      <c r="O583" s="5"/>
    </row>
    <row r="584" spans="2:15" x14ac:dyDescent="0.3">
      <c r="B584" s="9"/>
      <c r="I584" s="9"/>
      <c r="J584" s="9"/>
      <c r="O584" s="5"/>
    </row>
    <row r="585" spans="2:15" x14ac:dyDescent="0.3">
      <c r="B585" s="9"/>
      <c r="I585" s="9"/>
      <c r="J585" s="9"/>
      <c r="O585" s="5"/>
    </row>
    <row r="586" spans="2:15" x14ac:dyDescent="0.3">
      <c r="B586" s="9"/>
      <c r="I586" s="9"/>
      <c r="J586" s="9"/>
      <c r="O586" s="5"/>
    </row>
    <row r="587" spans="2:15" x14ac:dyDescent="0.3">
      <c r="B587" s="9"/>
      <c r="I587" s="9"/>
      <c r="J587" s="9"/>
      <c r="O587" s="5"/>
    </row>
    <row r="588" spans="2:15" x14ac:dyDescent="0.3">
      <c r="B588" s="9"/>
      <c r="I588" s="9"/>
      <c r="J588" s="9"/>
      <c r="O588" s="5"/>
    </row>
    <row r="589" spans="2:15" x14ac:dyDescent="0.3">
      <c r="B589" s="9"/>
      <c r="I589" s="9"/>
      <c r="J589" s="9"/>
      <c r="O589" s="5"/>
    </row>
    <row r="590" spans="2:15" x14ac:dyDescent="0.3">
      <c r="B590" s="9"/>
      <c r="I590" s="9"/>
      <c r="J590" s="9"/>
      <c r="O590" s="5"/>
    </row>
    <row r="591" spans="2:15" x14ac:dyDescent="0.3">
      <c r="B591" s="9"/>
      <c r="I591" s="9"/>
      <c r="J591" s="9"/>
      <c r="O591" s="5"/>
    </row>
    <row r="592" spans="2:15" x14ac:dyDescent="0.3">
      <c r="B592" s="9"/>
      <c r="I592" s="9"/>
      <c r="J592" s="9"/>
      <c r="O592" s="5"/>
    </row>
    <row r="593" spans="2:15" x14ac:dyDescent="0.3">
      <c r="B593" s="9"/>
      <c r="I593" s="9"/>
      <c r="J593" s="9"/>
      <c r="O593" s="5"/>
    </row>
    <row r="594" spans="2:15" x14ac:dyDescent="0.3">
      <c r="B594" s="9"/>
      <c r="I594" s="9"/>
      <c r="J594" s="9"/>
      <c r="O594" s="5"/>
    </row>
    <row r="595" spans="2:15" x14ac:dyDescent="0.3">
      <c r="B595" s="9"/>
      <c r="I595" s="9"/>
      <c r="J595" s="9"/>
      <c r="O595" s="5"/>
    </row>
    <row r="596" spans="2:15" x14ac:dyDescent="0.3">
      <c r="B596" s="9"/>
      <c r="I596" s="9"/>
      <c r="J596" s="9"/>
      <c r="O596" s="5"/>
    </row>
    <row r="597" spans="2:15" x14ac:dyDescent="0.3">
      <c r="B597" s="9"/>
      <c r="I597" s="9"/>
      <c r="J597" s="9"/>
      <c r="O597" s="5"/>
    </row>
    <row r="598" spans="2:15" x14ac:dyDescent="0.3">
      <c r="B598" s="9"/>
      <c r="I598" s="9"/>
      <c r="J598" s="9"/>
      <c r="O598" s="5"/>
    </row>
    <row r="599" spans="2:15" x14ac:dyDescent="0.3">
      <c r="B599" s="9"/>
      <c r="I599" s="9"/>
      <c r="J599" s="9"/>
      <c r="O599" s="5"/>
    </row>
    <row r="600" spans="2:15" x14ac:dyDescent="0.3">
      <c r="B600" s="9"/>
      <c r="I600" s="9"/>
      <c r="J600" s="9"/>
      <c r="O600" s="5"/>
    </row>
    <row r="601" spans="2:15" x14ac:dyDescent="0.3">
      <c r="B601" s="9"/>
      <c r="I601" s="9"/>
      <c r="J601" s="9"/>
      <c r="O601" s="5"/>
    </row>
    <row r="602" spans="2:15" x14ac:dyDescent="0.3">
      <c r="B602" s="9"/>
      <c r="I602" s="9"/>
      <c r="J602" s="9"/>
      <c r="O602" s="5"/>
    </row>
    <row r="603" spans="2:15" x14ac:dyDescent="0.3">
      <c r="B603" s="9"/>
      <c r="I603" s="9"/>
      <c r="J603" s="9"/>
      <c r="O603" s="5"/>
    </row>
    <row r="604" spans="2:15" x14ac:dyDescent="0.3">
      <c r="B604" s="9"/>
      <c r="I604" s="9"/>
      <c r="J604" s="9"/>
      <c r="O604" s="5"/>
    </row>
    <row r="605" spans="2:15" x14ac:dyDescent="0.3">
      <c r="B605" s="9"/>
      <c r="I605" s="9"/>
      <c r="J605" s="9"/>
      <c r="O605" s="5"/>
    </row>
    <row r="606" spans="2:15" x14ac:dyDescent="0.3">
      <c r="B606" s="9"/>
      <c r="I606" s="9"/>
      <c r="J606" s="9"/>
      <c r="O606" s="5"/>
    </row>
    <row r="607" spans="2:15" x14ac:dyDescent="0.3">
      <c r="B607" s="9"/>
      <c r="I607" s="9"/>
      <c r="J607" s="9"/>
      <c r="O607" s="5"/>
    </row>
    <row r="608" spans="2:15" x14ac:dyDescent="0.3">
      <c r="B608" s="9"/>
      <c r="I608" s="9"/>
      <c r="J608" s="9"/>
      <c r="O608" s="5"/>
    </row>
    <row r="609" spans="2:15" x14ac:dyDescent="0.3">
      <c r="B609" s="9"/>
      <c r="I609" s="9"/>
      <c r="J609" s="9"/>
      <c r="O609" s="5"/>
    </row>
    <row r="610" spans="2:15" x14ac:dyDescent="0.3">
      <c r="B610" s="9"/>
      <c r="I610" s="9"/>
      <c r="J610" s="9"/>
      <c r="O610" s="5"/>
    </row>
    <row r="611" spans="2:15" x14ac:dyDescent="0.3">
      <c r="B611" s="9"/>
      <c r="I611" s="9"/>
      <c r="J611" s="9"/>
      <c r="O611" s="5"/>
    </row>
    <row r="612" spans="2:15" x14ac:dyDescent="0.3">
      <c r="B612" s="9"/>
      <c r="I612" s="9"/>
      <c r="J612" s="9"/>
      <c r="O612" s="5"/>
    </row>
    <row r="613" spans="2:15" x14ac:dyDescent="0.3">
      <c r="B613" s="9"/>
      <c r="I613" s="9"/>
      <c r="J613" s="9"/>
      <c r="O613" s="5"/>
    </row>
    <row r="614" spans="2:15" x14ac:dyDescent="0.3">
      <c r="B614" s="9"/>
      <c r="I614" s="9"/>
      <c r="J614" s="9"/>
      <c r="O614" s="5"/>
    </row>
    <row r="615" spans="2:15" x14ac:dyDescent="0.3">
      <c r="B615" s="9"/>
      <c r="I615" s="9"/>
      <c r="J615" s="9"/>
      <c r="O615" s="5"/>
    </row>
    <row r="616" spans="2:15" x14ac:dyDescent="0.3">
      <c r="B616" s="9"/>
      <c r="I616" s="9"/>
      <c r="J616" s="9"/>
      <c r="O616" s="5"/>
    </row>
    <row r="617" spans="2:15" x14ac:dyDescent="0.3">
      <c r="B617" s="9"/>
      <c r="I617" s="9"/>
      <c r="J617" s="9"/>
      <c r="O617" s="5"/>
    </row>
    <row r="618" spans="2:15" x14ac:dyDescent="0.3">
      <c r="B618" s="9"/>
      <c r="I618" s="9"/>
      <c r="J618" s="9"/>
      <c r="O618" s="5"/>
    </row>
    <row r="619" spans="2:15" x14ac:dyDescent="0.3">
      <c r="B619" s="9"/>
      <c r="I619" s="9"/>
      <c r="J619" s="9"/>
      <c r="O619" s="5"/>
    </row>
    <row r="620" spans="2:15" x14ac:dyDescent="0.3">
      <c r="B620" s="9"/>
      <c r="I620" s="9"/>
      <c r="J620" s="9"/>
      <c r="O620" s="5"/>
    </row>
    <row r="621" spans="2:15" x14ac:dyDescent="0.3">
      <c r="B621" s="9"/>
      <c r="I621" s="9"/>
      <c r="J621" s="9"/>
      <c r="O621" s="5"/>
    </row>
    <row r="622" spans="2:15" x14ac:dyDescent="0.3">
      <c r="B622" s="9"/>
      <c r="I622" s="9"/>
      <c r="J622" s="9"/>
      <c r="O622" s="5"/>
    </row>
    <row r="623" spans="2:15" x14ac:dyDescent="0.3">
      <c r="B623" s="9"/>
      <c r="I623" s="9"/>
      <c r="J623" s="9"/>
      <c r="O623" s="5"/>
    </row>
    <row r="624" spans="2:15" x14ac:dyDescent="0.3">
      <c r="B624" s="9"/>
      <c r="I624" s="9"/>
      <c r="J624" s="9"/>
      <c r="O624" s="5"/>
    </row>
    <row r="625" spans="2:15" x14ac:dyDescent="0.3">
      <c r="B625" s="9"/>
      <c r="I625" s="9"/>
      <c r="J625" s="9"/>
      <c r="O625" s="5"/>
    </row>
    <row r="626" spans="2:15" x14ac:dyDescent="0.3">
      <c r="B626" s="9"/>
      <c r="I626" s="9"/>
      <c r="J626" s="9"/>
      <c r="O626" s="5"/>
    </row>
    <row r="627" spans="2:15" x14ac:dyDescent="0.3">
      <c r="B627" s="9"/>
      <c r="I627" s="9"/>
      <c r="J627" s="9"/>
      <c r="O627" s="5"/>
    </row>
    <row r="628" spans="2:15" x14ac:dyDescent="0.3">
      <c r="B628" s="9"/>
      <c r="I628" s="9"/>
      <c r="J628" s="9"/>
      <c r="O628" s="5"/>
    </row>
    <row r="629" spans="2:15" x14ac:dyDescent="0.3">
      <c r="B629" s="9"/>
      <c r="I629" s="9"/>
      <c r="J629" s="9"/>
      <c r="O629" s="5"/>
    </row>
    <row r="630" spans="2:15" x14ac:dyDescent="0.3">
      <c r="B630" s="9"/>
      <c r="I630" s="9"/>
      <c r="J630" s="9"/>
      <c r="O630" s="5"/>
    </row>
    <row r="631" spans="2:15" x14ac:dyDescent="0.3">
      <c r="B631" s="9"/>
      <c r="I631" s="9"/>
      <c r="J631" s="9"/>
      <c r="O631" s="5"/>
    </row>
    <row r="632" spans="2:15" x14ac:dyDescent="0.3">
      <c r="B632" s="9"/>
      <c r="I632" s="9"/>
      <c r="J632" s="9"/>
      <c r="O632" s="5"/>
    </row>
    <row r="633" spans="2:15" x14ac:dyDescent="0.3">
      <c r="B633" s="9"/>
      <c r="I633" s="9"/>
      <c r="J633" s="9"/>
      <c r="O633" s="5"/>
    </row>
    <row r="634" spans="2:15" x14ac:dyDescent="0.3">
      <c r="B634" s="9"/>
      <c r="I634" s="9"/>
      <c r="J634" s="9"/>
      <c r="O634" s="5"/>
    </row>
    <row r="635" spans="2:15" x14ac:dyDescent="0.3">
      <c r="B635" s="9"/>
      <c r="I635" s="9"/>
      <c r="J635" s="9"/>
      <c r="O635" s="5"/>
    </row>
    <row r="636" spans="2:15" x14ac:dyDescent="0.3">
      <c r="B636" s="9"/>
      <c r="I636" s="9"/>
      <c r="J636" s="9"/>
      <c r="O636" s="5"/>
    </row>
    <row r="637" spans="2:15" x14ac:dyDescent="0.3">
      <c r="B637" s="9"/>
      <c r="I637" s="9"/>
      <c r="J637" s="9"/>
      <c r="O637" s="5"/>
    </row>
    <row r="638" spans="2:15" x14ac:dyDescent="0.3">
      <c r="B638" s="9"/>
      <c r="I638" s="9"/>
      <c r="J638" s="9"/>
      <c r="O638" s="5"/>
    </row>
    <row r="639" spans="2:15" x14ac:dyDescent="0.3">
      <c r="B639" s="9"/>
      <c r="I639" s="9"/>
      <c r="J639" s="9"/>
      <c r="O639" s="5"/>
    </row>
    <row r="640" spans="2:15" x14ac:dyDescent="0.3">
      <c r="B640" s="9"/>
      <c r="I640" s="9"/>
      <c r="J640" s="9"/>
      <c r="O640" s="5"/>
    </row>
    <row r="641" spans="2:15" x14ac:dyDescent="0.3">
      <c r="B641" s="9"/>
      <c r="I641" s="9"/>
      <c r="J641" s="9"/>
      <c r="O641" s="5"/>
    </row>
    <row r="642" spans="2:15" x14ac:dyDescent="0.3">
      <c r="B642" s="9"/>
      <c r="I642" s="9"/>
      <c r="J642" s="9"/>
      <c r="O642" s="5"/>
    </row>
    <row r="643" spans="2:15" x14ac:dyDescent="0.3">
      <c r="B643" s="9"/>
      <c r="I643" s="9"/>
      <c r="J643" s="9"/>
      <c r="O643" s="5"/>
    </row>
    <row r="644" spans="2:15" x14ac:dyDescent="0.3">
      <c r="B644" s="9"/>
      <c r="I644" s="9"/>
      <c r="J644" s="9"/>
      <c r="O644" s="5"/>
    </row>
    <row r="645" spans="2:15" x14ac:dyDescent="0.3">
      <c r="B645" s="9"/>
      <c r="I645" s="9"/>
      <c r="J645" s="9"/>
      <c r="O645" s="5"/>
    </row>
    <row r="646" spans="2:15" x14ac:dyDescent="0.3">
      <c r="B646" s="9"/>
      <c r="I646" s="9"/>
      <c r="J646" s="9"/>
      <c r="O646" s="5"/>
    </row>
    <row r="647" spans="2:15" x14ac:dyDescent="0.3">
      <c r="B647" s="9"/>
      <c r="I647" s="9"/>
      <c r="J647" s="9"/>
      <c r="O647" s="5"/>
    </row>
    <row r="648" spans="2:15" x14ac:dyDescent="0.3">
      <c r="B648" s="9"/>
      <c r="I648" s="9"/>
      <c r="J648" s="9"/>
      <c r="O648" s="5"/>
    </row>
    <row r="649" spans="2:15" x14ac:dyDescent="0.3">
      <c r="B649" s="9"/>
      <c r="I649" s="9"/>
      <c r="J649" s="9"/>
      <c r="O649" s="5"/>
    </row>
    <row r="650" spans="2:15" x14ac:dyDescent="0.3">
      <c r="B650" s="9"/>
      <c r="I650" s="9"/>
      <c r="J650" s="9"/>
      <c r="O650" s="5"/>
    </row>
    <row r="651" spans="2:15" x14ac:dyDescent="0.3">
      <c r="B651" s="9"/>
      <c r="I651" s="9"/>
      <c r="J651" s="9"/>
      <c r="O651" s="5"/>
    </row>
    <row r="652" spans="2:15" x14ac:dyDescent="0.3">
      <c r="B652" s="9"/>
      <c r="I652" s="9"/>
      <c r="J652" s="9"/>
      <c r="O652" s="5"/>
    </row>
    <row r="653" spans="2:15" x14ac:dyDescent="0.3">
      <c r="B653" s="9"/>
      <c r="I653" s="9"/>
      <c r="J653" s="9"/>
      <c r="O653" s="5"/>
    </row>
    <row r="654" spans="2:15" x14ac:dyDescent="0.3">
      <c r="B654" s="9"/>
      <c r="I654" s="9"/>
      <c r="J654" s="9"/>
      <c r="O654" s="5"/>
    </row>
    <row r="655" spans="2:15" x14ac:dyDescent="0.3">
      <c r="B655" s="9"/>
      <c r="I655" s="9"/>
      <c r="J655" s="9"/>
      <c r="O655" s="5"/>
    </row>
    <row r="656" spans="2:15" x14ac:dyDescent="0.3">
      <c r="B656" s="9"/>
      <c r="I656" s="9"/>
      <c r="J656" s="9"/>
      <c r="O656" s="5"/>
    </row>
    <row r="657" spans="2:15" x14ac:dyDescent="0.3">
      <c r="B657" s="9"/>
      <c r="I657" s="9"/>
      <c r="J657" s="9"/>
      <c r="O657" s="5"/>
    </row>
    <row r="658" spans="2:15" x14ac:dyDescent="0.3">
      <c r="B658" s="9"/>
      <c r="I658" s="9"/>
      <c r="J658" s="9"/>
      <c r="O658" s="5"/>
    </row>
    <row r="659" spans="2:15" x14ac:dyDescent="0.3">
      <c r="B659" s="9"/>
      <c r="I659" s="9"/>
      <c r="J659" s="9"/>
      <c r="O659" s="5"/>
    </row>
    <row r="660" spans="2:15" x14ac:dyDescent="0.3">
      <c r="B660" s="9"/>
      <c r="I660" s="9"/>
      <c r="J660" s="9"/>
      <c r="O660" s="5"/>
    </row>
    <row r="661" spans="2:15" x14ac:dyDescent="0.3">
      <c r="B661" s="9"/>
      <c r="I661" s="9"/>
      <c r="J661" s="9"/>
      <c r="O661" s="5"/>
    </row>
    <row r="662" spans="2:15" x14ac:dyDescent="0.3">
      <c r="B662" s="9"/>
      <c r="I662" s="9"/>
      <c r="J662" s="9"/>
      <c r="O662" s="5"/>
    </row>
    <row r="663" spans="2:15" x14ac:dyDescent="0.3">
      <c r="B663" s="9"/>
      <c r="I663" s="9"/>
      <c r="J663" s="9"/>
      <c r="O663" s="5"/>
    </row>
    <row r="664" spans="2:15" x14ac:dyDescent="0.3">
      <c r="B664" s="9"/>
      <c r="I664" s="9"/>
      <c r="J664" s="9"/>
      <c r="O664" s="5"/>
    </row>
    <row r="665" spans="2:15" x14ac:dyDescent="0.3">
      <c r="B665" s="9"/>
      <c r="I665" s="9"/>
      <c r="J665" s="9"/>
      <c r="O665" s="5"/>
    </row>
    <row r="666" spans="2:15" x14ac:dyDescent="0.3">
      <c r="B666" s="9"/>
      <c r="I666" s="9"/>
      <c r="J666" s="9"/>
      <c r="O666" s="5"/>
    </row>
    <row r="667" spans="2:15" x14ac:dyDescent="0.3">
      <c r="B667" s="9"/>
      <c r="I667" s="9"/>
      <c r="J667" s="9"/>
      <c r="O667" s="5"/>
    </row>
    <row r="668" spans="2:15" x14ac:dyDescent="0.3">
      <c r="B668" s="9"/>
      <c r="I668" s="9"/>
      <c r="J668" s="9"/>
      <c r="O668" s="5"/>
    </row>
    <row r="669" spans="2:15" x14ac:dyDescent="0.3">
      <c r="B669" s="9"/>
      <c r="I669" s="9"/>
      <c r="J669" s="9"/>
      <c r="O669" s="5"/>
    </row>
    <row r="670" spans="2:15" x14ac:dyDescent="0.3">
      <c r="B670" s="9"/>
      <c r="I670" s="9"/>
      <c r="J670" s="9"/>
      <c r="O670" s="5"/>
    </row>
    <row r="671" spans="2:15" x14ac:dyDescent="0.3">
      <c r="B671" s="9"/>
      <c r="I671" s="9"/>
      <c r="J671" s="9"/>
      <c r="O671" s="5"/>
    </row>
    <row r="672" spans="2:15" x14ac:dyDescent="0.3">
      <c r="B672" s="9"/>
      <c r="I672" s="9"/>
      <c r="J672" s="9"/>
      <c r="O672" s="5"/>
    </row>
    <row r="673" spans="2:15" x14ac:dyDescent="0.3">
      <c r="B673" s="9"/>
      <c r="I673" s="9"/>
      <c r="J673" s="9"/>
      <c r="O673" s="5"/>
    </row>
    <row r="674" spans="2:15" x14ac:dyDescent="0.3">
      <c r="B674" s="9"/>
      <c r="I674" s="9"/>
      <c r="J674" s="9"/>
      <c r="O674" s="5"/>
    </row>
    <row r="675" spans="2:15" x14ac:dyDescent="0.3">
      <c r="B675" s="9"/>
      <c r="I675" s="9"/>
      <c r="J675" s="9"/>
      <c r="O675" s="5"/>
    </row>
    <row r="676" spans="2:15" x14ac:dyDescent="0.3">
      <c r="B676" s="9"/>
      <c r="I676" s="9"/>
      <c r="J676" s="9"/>
      <c r="O676" s="5"/>
    </row>
    <row r="677" spans="2:15" x14ac:dyDescent="0.3">
      <c r="B677" s="9"/>
      <c r="I677" s="9"/>
      <c r="J677" s="9"/>
      <c r="O677" s="5"/>
    </row>
    <row r="678" spans="2:15" x14ac:dyDescent="0.3">
      <c r="B678" s="9"/>
      <c r="I678" s="9"/>
      <c r="J678" s="9"/>
      <c r="O678" s="5"/>
    </row>
    <row r="679" spans="2:15" x14ac:dyDescent="0.3">
      <c r="B679" s="9"/>
      <c r="I679" s="9"/>
      <c r="J679" s="9"/>
      <c r="O679" s="5"/>
    </row>
    <row r="680" spans="2:15" x14ac:dyDescent="0.3">
      <c r="B680" s="9"/>
      <c r="I680" s="9"/>
      <c r="J680" s="9"/>
      <c r="O680" s="5"/>
    </row>
    <row r="681" spans="2:15" x14ac:dyDescent="0.3">
      <c r="B681" s="9"/>
      <c r="I681" s="9"/>
      <c r="J681" s="9"/>
      <c r="O681" s="5"/>
    </row>
    <row r="682" spans="2:15" x14ac:dyDescent="0.3">
      <c r="B682" s="9"/>
      <c r="I682" s="9"/>
      <c r="J682" s="9"/>
      <c r="O682" s="5"/>
    </row>
    <row r="683" spans="2:15" x14ac:dyDescent="0.3">
      <c r="B683" s="9"/>
      <c r="I683" s="9"/>
      <c r="J683" s="9"/>
      <c r="O683" s="5"/>
    </row>
    <row r="684" spans="2:15" x14ac:dyDescent="0.3">
      <c r="B684" s="9"/>
      <c r="I684" s="9"/>
      <c r="J684" s="9"/>
      <c r="O684" s="5"/>
    </row>
    <row r="685" spans="2:15" x14ac:dyDescent="0.3">
      <c r="B685" s="9"/>
      <c r="I685" s="9"/>
      <c r="J685" s="9"/>
      <c r="O685" s="5"/>
    </row>
    <row r="686" spans="2:15" x14ac:dyDescent="0.3">
      <c r="B686" s="9"/>
      <c r="I686" s="9"/>
      <c r="J686" s="9"/>
      <c r="O686" s="5"/>
    </row>
    <row r="687" spans="2:15" x14ac:dyDescent="0.3">
      <c r="B687" s="9"/>
      <c r="I687" s="9"/>
      <c r="J687" s="9"/>
      <c r="O687" s="5"/>
    </row>
    <row r="688" spans="2:15" x14ac:dyDescent="0.3">
      <c r="B688" s="9"/>
      <c r="I688" s="9"/>
      <c r="J688" s="9"/>
      <c r="O688" s="5"/>
    </row>
    <row r="689" spans="2:15" x14ac:dyDescent="0.3">
      <c r="B689" s="9"/>
      <c r="I689" s="9"/>
      <c r="J689" s="9"/>
      <c r="O689" s="5"/>
    </row>
    <row r="690" spans="2:15" x14ac:dyDescent="0.3">
      <c r="B690" s="9"/>
      <c r="I690" s="9"/>
      <c r="J690" s="9"/>
      <c r="O690" s="5"/>
    </row>
    <row r="691" spans="2:15" x14ac:dyDescent="0.3">
      <c r="B691" s="9"/>
      <c r="I691" s="9"/>
      <c r="J691" s="9"/>
      <c r="O691" s="5"/>
    </row>
    <row r="692" spans="2:15" x14ac:dyDescent="0.3">
      <c r="B692" s="9"/>
      <c r="I692" s="9"/>
      <c r="J692" s="9"/>
      <c r="O692" s="5"/>
    </row>
    <row r="693" spans="2:15" x14ac:dyDescent="0.3">
      <c r="B693" s="9"/>
      <c r="I693" s="9"/>
      <c r="J693" s="9"/>
      <c r="O693" s="5"/>
    </row>
    <row r="694" spans="2:15" x14ac:dyDescent="0.3">
      <c r="B694" s="9"/>
      <c r="I694" s="9"/>
      <c r="J694" s="9"/>
      <c r="O694" s="5"/>
    </row>
    <row r="695" spans="2:15" x14ac:dyDescent="0.3">
      <c r="B695" s="9"/>
      <c r="I695" s="9"/>
      <c r="J695" s="9"/>
      <c r="O695" s="5"/>
    </row>
    <row r="696" spans="2:15" x14ac:dyDescent="0.3">
      <c r="B696" s="9"/>
      <c r="I696" s="9"/>
      <c r="J696" s="9"/>
      <c r="O696" s="5"/>
    </row>
    <row r="697" spans="2:15" x14ac:dyDescent="0.3">
      <c r="B697" s="9"/>
      <c r="I697" s="9"/>
      <c r="J697" s="9"/>
      <c r="O697" s="5"/>
    </row>
    <row r="698" spans="2:15" x14ac:dyDescent="0.3">
      <c r="B698" s="9"/>
      <c r="I698" s="9"/>
      <c r="J698" s="9"/>
      <c r="O698" s="5"/>
    </row>
    <row r="699" spans="2:15" x14ac:dyDescent="0.3">
      <c r="B699" s="9"/>
      <c r="I699" s="9"/>
      <c r="J699" s="9"/>
      <c r="O699" s="5"/>
    </row>
    <row r="700" spans="2:15" x14ac:dyDescent="0.3">
      <c r="B700" s="9"/>
      <c r="I700" s="9"/>
      <c r="J700" s="9"/>
      <c r="O700" s="5"/>
    </row>
    <row r="701" spans="2:15" x14ac:dyDescent="0.3">
      <c r="B701" s="9"/>
      <c r="I701" s="9"/>
      <c r="J701" s="9"/>
      <c r="O701" s="5"/>
    </row>
    <row r="702" spans="2:15" x14ac:dyDescent="0.3">
      <c r="B702" s="9"/>
      <c r="I702" s="9"/>
      <c r="J702" s="9"/>
      <c r="O702" s="5"/>
    </row>
    <row r="703" spans="2:15" x14ac:dyDescent="0.3">
      <c r="B703" s="9"/>
      <c r="I703" s="9"/>
      <c r="J703" s="9"/>
      <c r="O703" s="5"/>
    </row>
    <row r="704" spans="2:15" x14ac:dyDescent="0.3">
      <c r="B704" s="9"/>
      <c r="I704" s="9"/>
      <c r="J704" s="9"/>
      <c r="O704" s="5"/>
    </row>
    <row r="705" spans="2:15" x14ac:dyDescent="0.3">
      <c r="B705" s="9"/>
      <c r="I705" s="9"/>
      <c r="J705" s="9"/>
      <c r="O705" s="5"/>
    </row>
    <row r="706" spans="2:15" x14ac:dyDescent="0.3">
      <c r="B706" s="9"/>
      <c r="I706" s="9"/>
      <c r="J706" s="9"/>
      <c r="O706" s="5"/>
    </row>
    <row r="707" spans="2:15" x14ac:dyDescent="0.3">
      <c r="B707" s="9"/>
      <c r="I707" s="9"/>
      <c r="J707" s="9"/>
      <c r="O707" s="5"/>
    </row>
    <row r="708" spans="2:15" x14ac:dyDescent="0.3">
      <c r="B708" s="9"/>
      <c r="I708" s="9"/>
      <c r="J708" s="9"/>
      <c r="O708" s="5"/>
    </row>
    <row r="709" spans="2:15" x14ac:dyDescent="0.3">
      <c r="B709" s="9"/>
      <c r="I709" s="9"/>
      <c r="J709" s="9"/>
      <c r="O709" s="5"/>
    </row>
    <row r="710" spans="2:15" x14ac:dyDescent="0.3">
      <c r="B710" s="9"/>
      <c r="I710" s="9"/>
      <c r="J710" s="9"/>
      <c r="O710" s="5"/>
    </row>
    <row r="711" spans="2:15" x14ac:dyDescent="0.3">
      <c r="B711" s="9"/>
      <c r="I711" s="9"/>
      <c r="J711" s="9"/>
      <c r="O711" s="5"/>
    </row>
    <row r="712" spans="2:15" x14ac:dyDescent="0.3">
      <c r="B712" s="9"/>
      <c r="I712" s="9"/>
      <c r="J712" s="9"/>
      <c r="O712" s="5"/>
    </row>
    <row r="713" spans="2:15" x14ac:dyDescent="0.3">
      <c r="B713" s="9"/>
      <c r="I713" s="9"/>
      <c r="J713" s="9"/>
      <c r="O713" s="5"/>
    </row>
    <row r="714" spans="2:15" x14ac:dyDescent="0.3">
      <c r="B714" s="9"/>
      <c r="I714" s="9"/>
      <c r="J714" s="9"/>
      <c r="O714" s="5"/>
    </row>
    <row r="715" spans="2:15" x14ac:dyDescent="0.3">
      <c r="B715" s="9"/>
      <c r="I715" s="9"/>
      <c r="J715" s="9"/>
      <c r="O715" s="5"/>
    </row>
    <row r="716" spans="2:15" x14ac:dyDescent="0.3">
      <c r="B716" s="9"/>
      <c r="I716" s="9"/>
      <c r="J716" s="9"/>
      <c r="O716" s="5"/>
    </row>
    <row r="717" spans="2:15" x14ac:dyDescent="0.3">
      <c r="B717" s="9"/>
      <c r="I717" s="9"/>
      <c r="J717" s="9"/>
      <c r="O717" s="5"/>
    </row>
    <row r="718" spans="2:15" x14ac:dyDescent="0.3">
      <c r="B718" s="9"/>
      <c r="I718" s="9"/>
      <c r="J718" s="9"/>
      <c r="O718" s="5"/>
    </row>
    <row r="719" spans="2:15" x14ac:dyDescent="0.3">
      <c r="B719" s="9"/>
      <c r="I719" s="9"/>
      <c r="J719" s="9"/>
      <c r="O719" s="5"/>
    </row>
    <row r="720" spans="2:15" x14ac:dyDescent="0.3">
      <c r="B720" s="9"/>
      <c r="I720" s="9"/>
      <c r="J720" s="9"/>
      <c r="O720" s="5"/>
    </row>
    <row r="721" spans="2:15" x14ac:dyDescent="0.3">
      <c r="B721" s="9"/>
      <c r="I721" s="9"/>
      <c r="J721" s="9"/>
      <c r="O721" s="5"/>
    </row>
    <row r="722" spans="2:15" x14ac:dyDescent="0.3">
      <c r="B722" s="9"/>
      <c r="I722" s="9"/>
      <c r="J722" s="9"/>
      <c r="O722" s="5"/>
    </row>
    <row r="723" spans="2:15" x14ac:dyDescent="0.3">
      <c r="B723" s="9"/>
      <c r="I723" s="9"/>
      <c r="J723" s="9"/>
      <c r="O723" s="5"/>
    </row>
    <row r="724" spans="2:15" x14ac:dyDescent="0.3">
      <c r="B724" s="9"/>
      <c r="I724" s="9"/>
      <c r="J724" s="9"/>
      <c r="O724" s="5"/>
    </row>
    <row r="725" spans="2:15" x14ac:dyDescent="0.3">
      <c r="B725" s="9"/>
      <c r="I725" s="9"/>
      <c r="J725" s="9"/>
      <c r="O725" s="5"/>
    </row>
    <row r="726" spans="2:15" x14ac:dyDescent="0.3">
      <c r="B726" s="9"/>
      <c r="I726" s="9"/>
      <c r="J726" s="9"/>
      <c r="O726" s="5"/>
    </row>
    <row r="727" spans="2:15" x14ac:dyDescent="0.3">
      <c r="B727" s="9"/>
      <c r="I727" s="9"/>
      <c r="J727" s="9"/>
      <c r="O727" s="5"/>
    </row>
    <row r="728" spans="2:15" x14ac:dyDescent="0.3">
      <c r="B728" s="9"/>
      <c r="I728" s="9"/>
      <c r="J728" s="9"/>
      <c r="O728" s="5"/>
    </row>
    <row r="729" spans="2:15" x14ac:dyDescent="0.3">
      <c r="B729" s="9"/>
      <c r="I729" s="9"/>
      <c r="J729" s="9"/>
      <c r="O729" s="5"/>
    </row>
    <row r="730" spans="2:15" x14ac:dyDescent="0.3">
      <c r="B730" s="9"/>
      <c r="I730" s="9"/>
      <c r="J730" s="9"/>
      <c r="O730" s="5"/>
    </row>
    <row r="731" spans="2:15" x14ac:dyDescent="0.3">
      <c r="B731" s="9"/>
      <c r="I731" s="9"/>
      <c r="J731" s="9"/>
      <c r="O731" s="5"/>
    </row>
    <row r="732" spans="2:15" x14ac:dyDescent="0.3">
      <c r="B732" s="9"/>
      <c r="I732" s="9"/>
      <c r="J732" s="9"/>
      <c r="O732" s="5"/>
    </row>
    <row r="733" spans="2:15" x14ac:dyDescent="0.3">
      <c r="B733" s="9"/>
      <c r="I733" s="9"/>
      <c r="J733" s="9"/>
      <c r="O733" s="5"/>
    </row>
    <row r="734" spans="2:15" x14ac:dyDescent="0.3">
      <c r="B734" s="9"/>
      <c r="I734" s="9"/>
      <c r="J734" s="9"/>
      <c r="O734" s="5"/>
    </row>
    <row r="735" spans="2:15" x14ac:dyDescent="0.3">
      <c r="B735" s="9"/>
      <c r="I735" s="9"/>
      <c r="J735" s="9"/>
      <c r="O735" s="5"/>
    </row>
    <row r="736" spans="2:15" x14ac:dyDescent="0.3">
      <c r="B736" s="9"/>
      <c r="I736" s="9"/>
      <c r="J736" s="9"/>
      <c r="O736" s="5"/>
    </row>
    <row r="737" spans="2:15" x14ac:dyDescent="0.3">
      <c r="B737" s="9"/>
      <c r="I737" s="9"/>
      <c r="J737" s="9"/>
      <c r="O737" s="5"/>
    </row>
    <row r="738" spans="2:15" x14ac:dyDescent="0.3">
      <c r="B738" s="9"/>
      <c r="I738" s="9"/>
      <c r="J738" s="9"/>
      <c r="O738" s="5"/>
    </row>
    <row r="739" spans="2:15" x14ac:dyDescent="0.3">
      <c r="B739" s="9"/>
      <c r="I739" s="9"/>
      <c r="J739" s="9"/>
      <c r="O739" s="5"/>
    </row>
    <row r="740" spans="2:15" x14ac:dyDescent="0.3">
      <c r="B740" s="9"/>
      <c r="I740" s="9"/>
      <c r="J740" s="9"/>
      <c r="O740" s="5"/>
    </row>
    <row r="741" spans="2:15" x14ac:dyDescent="0.3">
      <c r="B741" s="9"/>
      <c r="I741" s="9"/>
      <c r="J741" s="9"/>
      <c r="O741" s="5"/>
    </row>
    <row r="742" spans="2:15" x14ac:dyDescent="0.3">
      <c r="B742" s="9"/>
      <c r="I742" s="9"/>
      <c r="J742" s="9"/>
      <c r="O742" s="5"/>
    </row>
    <row r="743" spans="2:15" x14ac:dyDescent="0.3">
      <c r="B743" s="9"/>
      <c r="I743" s="9"/>
      <c r="J743" s="9"/>
      <c r="O743" s="5"/>
    </row>
    <row r="744" spans="2:15" x14ac:dyDescent="0.3">
      <c r="B744" s="9"/>
      <c r="I744" s="9"/>
      <c r="J744" s="9"/>
      <c r="O744" s="5"/>
    </row>
    <row r="745" spans="2:15" x14ac:dyDescent="0.3">
      <c r="B745" s="9"/>
      <c r="I745" s="9"/>
      <c r="J745" s="9"/>
      <c r="O745" s="5"/>
    </row>
    <row r="746" spans="2:15" x14ac:dyDescent="0.3">
      <c r="B746" s="9"/>
      <c r="I746" s="9"/>
      <c r="J746" s="9"/>
      <c r="O746" s="5"/>
    </row>
    <row r="747" spans="2:15" x14ac:dyDescent="0.3">
      <c r="B747" s="9"/>
      <c r="I747" s="9"/>
      <c r="J747" s="9"/>
      <c r="O747" s="5"/>
    </row>
    <row r="748" spans="2:15" x14ac:dyDescent="0.3">
      <c r="B748" s="9"/>
      <c r="I748" s="9"/>
      <c r="J748" s="9"/>
      <c r="O748" s="5"/>
    </row>
    <row r="749" spans="2:15" x14ac:dyDescent="0.3">
      <c r="B749" s="9"/>
      <c r="I749" s="9"/>
      <c r="J749" s="9"/>
      <c r="O749" s="5"/>
    </row>
    <row r="750" spans="2:15" x14ac:dyDescent="0.3">
      <c r="B750" s="9"/>
      <c r="I750" s="9"/>
      <c r="J750" s="9"/>
      <c r="O750" s="5"/>
    </row>
    <row r="751" spans="2:15" x14ac:dyDescent="0.3">
      <c r="B751" s="9"/>
      <c r="I751" s="9"/>
      <c r="J751" s="9"/>
      <c r="O751" s="5"/>
    </row>
    <row r="752" spans="2:15" x14ac:dyDescent="0.3">
      <c r="B752" s="9"/>
      <c r="I752" s="9"/>
      <c r="J752" s="9"/>
      <c r="O752" s="5"/>
    </row>
    <row r="753" spans="2:15" x14ac:dyDescent="0.3">
      <c r="B753" s="9"/>
      <c r="I753" s="9"/>
      <c r="J753" s="9"/>
      <c r="O753" s="5"/>
    </row>
    <row r="754" spans="2:15" x14ac:dyDescent="0.3">
      <c r="B754" s="9"/>
      <c r="I754" s="9"/>
      <c r="J754" s="9"/>
      <c r="O754" s="5"/>
    </row>
    <row r="755" spans="2:15" x14ac:dyDescent="0.3">
      <c r="B755" s="9"/>
      <c r="I755" s="9"/>
      <c r="J755" s="9"/>
      <c r="O755" s="5"/>
    </row>
    <row r="756" spans="2:15" x14ac:dyDescent="0.3">
      <c r="B756" s="9"/>
      <c r="I756" s="9"/>
      <c r="J756" s="9"/>
      <c r="O756" s="5"/>
    </row>
    <row r="757" spans="2:15" x14ac:dyDescent="0.3">
      <c r="B757" s="9"/>
      <c r="I757" s="9"/>
      <c r="J757" s="9"/>
      <c r="O757" s="5"/>
    </row>
    <row r="758" spans="2:15" x14ac:dyDescent="0.3">
      <c r="B758" s="9"/>
      <c r="I758" s="9"/>
      <c r="J758" s="9"/>
      <c r="O758" s="5"/>
    </row>
    <row r="759" spans="2:15" x14ac:dyDescent="0.3">
      <c r="B759" s="9"/>
      <c r="I759" s="9"/>
      <c r="J759" s="9"/>
      <c r="O759" s="5"/>
    </row>
    <row r="760" spans="2:15" x14ac:dyDescent="0.3">
      <c r="B760" s="9"/>
      <c r="I760" s="9"/>
      <c r="J760" s="9"/>
      <c r="O760" s="5"/>
    </row>
    <row r="761" spans="2:15" x14ac:dyDescent="0.3">
      <c r="B761" s="9"/>
      <c r="I761" s="9"/>
      <c r="J761" s="9"/>
      <c r="O761" s="5"/>
    </row>
    <row r="762" spans="2:15" x14ac:dyDescent="0.3">
      <c r="B762" s="9"/>
      <c r="I762" s="9"/>
      <c r="J762" s="9"/>
      <c r="O762" s="5"/>
    </row>
    <row r="763" spans="2:15" x14ac:dyDescent="0.3">
      <c r="B763" s="9"/>
      <c r="I763" s="9"/>
      <c r="J763" s="9"/>
      <c r="O763" s="5"/>
    </row>
    <row r="764" spans="2:15" x14ac:dyDescent="0.3">
      <c r="B764" s="9"/>
      <c r="I764" s="9"/>
      <c r="J764" s="9"/>
      <c r="O764" s="5"/>
    </row>
    <row r="765" spans="2:15" x14ac:dyDescent="0.3">
      <c r="B765" s="9"/>
      <c r="I765" s="9"/>
      <c r="J765" s="9"/>
      <c r="O765" s="5"/>
    </row>
    <row r="766" spans="2:15" x14ac:dyDescent="0.3">
      <c r="B766" s="9"/>
      <c r="I766" s="9"/>
      <c r="J766" s="9"/>
      <c r="O766" s="5"/>
    </row>
    <row r="767" spans="2:15" x14ac:dyDescent="0.3">
      <c r="B767" s="9"/>
      <c r="I767" s="9"/>
      <c r="J767" s="9"/>
      <c r="O767" s="5"/>
    </row>
    <row r="768" spans="2:15" x14ac:dyDescent="0.3">
      <c r="B768" s="9"/>
      <c r="I768" s="9"/>
      <c r="J768" s="9"/>
      <c r="O768" s="5"/>
    </row>
    <row r="769" spans="2:15" x14ac:dyDescent="0.3">
      <c r="B769" s="9"/>
      <c r="I769" s="9"/>
      <c r="J769" s="9"/>
      <c r="O769" s="5"/>
    </row>
    <row r="770" spans="2:15" x14ac:dyDescent="0.3">
      <c r="B770" s="9"/>
      <c r="I770" s="9"/>
      <c r="J770" s="9"/>
      <c r="O770" s="5"/>
    </row>
    <row r="771" spans="2:15" x14ac:dyDescent="0.3">
      <c r="B771" s="9"/>
      <c r="I771" s="9"/>
      <c r="J771" s="9"/>
      <c r="O771" s="5"/>
    </row>
    <row r="772" spans="2:15" x14ac:dyDescent="0.3">
      <c r="B772" s="9"/>
      <c r="I772" s="9"/>
      <c r="J772" s="9"/>
      <c r="O772" s="5"/>
    </row>
    <row r="773" spans="2:15" x14ac:dyDescent="0.3">
      <c r="B773" s="9"/>
      <c r="I773" s="9"/>
      <c r="J773" s="9"/>
      <c r="O773" s="5"/>
    </row>
    <row r="774" spans="2:15" x14ac:dyDescent="0.3">
      <c r="B774" s="9"/>
      <c r="I774" s="9"/>
      <c r="J774" s="9"/>
      <c r="O774" s="5"/>
    </row>
    <row r="775" spans="2:15" x14ac:dyDescent="0.3">
      <c r="B775" s="9"/>
      <c r="I775" s="9"/>
      <c r="J775" s="9"/>
      <c r="O775" s="5"/>
    </row>
    <row r="776" spans="2:15" x14ac:dyDescent="0.3">
      <c r="B776" s="9"/>
      <c r="I776" s="9"/>
      <c r="J776" s="9"/>
      <c r="O776" s="5"/>
    </row>
    <row r="777" spans="2:15" x14ac:dyDescent="0.3">
      <c r="B777" s="9"/>
      <c r="I777" s="9"/>
      <c r="J777" s="9"/>
      <c r="O777" s="5"/>
    </row>
    <row r="778" spans="2:15" x14ac:dyDescent="0.3">
      <c r="B778" s="9"/>
      <c r="I778" s="9"/>
      <c r="J778" s="9"/>
      <c r="O778" s="5"/>
    </row>
    <row r="779" spans="2:15" x14ac:dyDescent="0.3">
      <c r="B779" s="9"/>
      <c r="I779" s="9"/>
      <c r="J779" s="9"/>
      <c r="O779" s="5"/>
    </row>
    <row r="780" spans="2:15" x14ac:dyDescent="0.3">
      <c r="B780" s="9"/>
      <c r="I780" s="9"/>
      <c r="J780" s="9"/>
      <c r="O780" s="5"/>
    </row>
    <row r="781" spans="2:15" x14ac:dyDescent="0.3">
      <c r="B781" s="9"/>
      <c r="I781" s="9"/>
      <c r="J781" s="9"/>
      <c r="O781" s="5"/>
    </row>
    <row r="782" spans="2:15" x14ac:dyDescent="0.3">
      <c r="B782" s="9"/>
      <c r="I782" s="9"/>
      <c r="J782" s="9"/>
      <c r="O782" s="5"/>
    </row>
    <row r="783" spans="2:15" x14ac:dyDescent="0.3">
      <c r="B783" s="9"/>
      <c r="I783" s="9"/>
      <c r="J783" s="9"/>
      <c r="O783" s="5"/>
    </row>
    <row r="784" spans="2:15" x14ac:dyDescent="0.3">
      <c r="B784" s="9"/>
      <c r="I784" s="9"/>
      <c r="J784" s="9"/>
      <c r="O784" s="5"/>
    </row>
    <row r="785" spans="2:15" x14ac:dyDescent="0.3">
      <c r="B785" s="9"/>
      <c r="I785" s="9"/>
      <c r="J785" s="9"/>
      <c r="O785" s="5"/>
    </row>
    <row r="786" spans="2:15" x14ac:dyDescent="0.3">
      <c r="B786" s="9"/>
      <c r="I786" s="9"/>
      <c r="J786" s="9"/>
      <c r="O786" s="5"/>
    </row>
    <row r="787" spans="2:15" x14ac:dyDescent="0.3">
      <c r="B787" s="9"/>
      <c r="I787" s="9"/>
      <c r="J787" s="9"/>
      <c r="O787" s="5"/>
    </row>
    <row r="788" spans="2:15" x14ac:dyDescent="0.3">
      <c r="B788" s="9"/>
      <c r="I788" s="9"/>
      <c r="J788" s="9"/>
      <c r="O788" s="5"/>
    </row>
    <row r="789" spans="2:15" x14ac:dyDescent="0.3">
      <c r="B789" s="9"/>
      <c r="I789" s="9"/>
      <c r="J789" s="9"/>
      <c r="O789" s="5"/>
    </row>
    <row r="790" spans="2:15" x14ac:dyDescent="0.3">
      <c r="B790" s="9"/>
      <c r="I790" s="9"/>
      <c r="J790" s="9"/>
      <c r="O790" s="5"/>
    </row>
    <row r="791" spans="2:15" x14ac:dyDescent="0.3">
      <c r="B791" s="9"/>
      <c r="I791" s="9"/>
      <c r="J791" s="9"/>
      <c r="O791" s="5"/>
    </row>
    <row r="792" spans="2:15" x14ac:dyDescent="0.3">
      <c r="B792" s="9"/>
      <c r="I792" s="9"/>
      <c r="J792" s="9"/>
      <c r="O792" s="5"/>
    </row>
    <row r="793" spans="2:15" x14ac:dyDescent="0.3">
      <c r="B793" s="9"/>
      <c r="I793" s="9"/>
      <c r="J793" s="9"/>
      <c r="O793" s="5"/>
    </row>
    <row r="794" spans="2:15" x14ac:dyDescent="0.3">
      <c r="B794" s="9"/>
      <c r="I794" s="9"/>
      <c r="J794" s="9"/>
      <c r="O794" s="5"/>
    </row>
    <row r="795" spans="2:15" x14ac:dyDescent="0.3">
      <c r="B795" s="9"/>
      <c r="I795" s="9"/>
      <c r="J795" s="9"/>
      <c r="O795" s="5"/>
    </row>
    <row r="796" spans="2:15" x14ac:dyDescent="0.3">
      <c r="B796" s="9"/>
      <c r="I796" s="9"/>
      <c r="J796" s="9"/>
      <c r="O796" s="5"/>
    </row>
    <row r="797" spans="2:15" x14ac:dyDescent="0.3">
      <c r="B797" s="9"/>
      <c r="I797" s="9"/>
      <c r="J797" s="9"/>
      <c r="O797" s="5"/>
    </row>
    <row r="798" spans="2:15" x14ac:dyDescent="0.3">
      <c r="B798" s="9"/>
      <c r="I798" s="9"/>
      <c r="J798" s="9"/>
      <c r="O798" s="5"/>
    </row>
    <row r="799" spans="2:15" x14ac:dyDescent="0.3">
      <c r="B799" s="9"/>
      <c r="I799" s="9"/>
      <c r="J799" s="9"/>
      <c r="O799" s="5"/>
    </row>
    <row r="800" spans="2:15" x14ac:dyDescent="0.3">
      <c r="B800" s="9"/>
      <c r="I800" s="9"/>
      <c r="J800" s="9"/>
      <c r="O800" s="5"/>
    </row>
    <row r="801" spans="2:15" x14ac:dyDescent="0.3">
      <c r="B801" s="9"/>
      <c r="I801" s="9"/>
      <c r="J801" s="9"/>
      <c r="O801" s="5"/>
    </row>
    <row r="802" spans="2:15" x14ac:dyDescent="0.3">
      <c r="B802" s="9"/>
      <c r="I802" s="9"/>
      <c r="J802" s="9"/>
      <c r="O802" s="5"/>
    </row>
    <row r="803" spans="2:15" x14ac:dyDescent="0.3">
      <c r="B803" s="9"/>
      <c r="I803" s="9"/>
      <c r="J803" s="9"/>
      <c r="O803" s="5"/>
    </row>
    <row r="804" spans="2:15" x14ac:dyDescent="0.3">
      <c r="B804" s="9"/>
      <c r="I804" s="9"/>
      <c r="J804" s="9"/>
      <c r="O804" s="5"/>
    </row>
    <row r="805" spans="2:15" x14ac:dyDescent="0.3">
      <c r="B805" s="9"/>
      <c r="I805" s="9"/>
      <c r="J805" s="9"/>
      <c r="O805" s="5"/>
    </row>
    <row r="806" spans="2:15" x14ac:dyDescent="0.3">
      <c r="B806" s="9"/>
      <c r="I806" s="9"/>
      <c r="J806" s="9"/>
      <c r="O806" s="5"/>
    </row>
    <row r="807" spans="2:15" x14ac:dyDescent="0.3">
      <c r="B807" s="9"/>
      <c r="I807" s="9"/>
      <c r="J807" s="9"/>
      <c r="O807" s="5"/>
    </row>
    <row r="808" spans="2:15" x14ac:dyDescent="0.3">
      <c r="B808" s="9"/>
      <c r="I808" s="9"/>
      <c r="J808" s="9"/>
      <c r="O808" s="5"/>
    </row>
    <row r="809" spans="2:15" x14ac:dyDescent="0.3">
      <c r="B809" s="9"/>
      <c r="I809" s="9"/>
      <c r="J809" s="9"/>
      <c r="O809" s="5"/>
    </row>
    <row r="810" spans="2:15" x14ac:dyDescent="0.3">
      <c r="B810" s="9"/>
      <c r="I810" s="9"/>
      <c r="J810" s="9"/>
      <c r="O810" s="5"/>
    </row>
    <row r="811" spans="2:15" x14ac:dyDescent="0.3">
      <c r="B811" s="9"/>
      <c r="I811" s="9"/>
      <c r="J811" s="9"/>
      <c r="O811" s="5"/>
    </row>
    <row r="812" spans="2:15" x14ac:dyDescent="0.3">
      <c r="B812" s="9"/>
      <c r="I812" s="9"/>
      <c r="J812" s="9"/>
      <c r="O812" s="5"/>
    </row>
    <row r="813" spans="2:15" x14ac:dyDescent="0.3">
      <c r="B813" s="9"/>
      <c r="I813" s="9"/>
      <c r="J813" s="9"/>
      <c r="O813" s="5"/>
    </row>
    <row r="814" spans="2:15" x14ac:dyDescent="0.3">
      <c r="B814" s="9"/>
      <c r="I814" s="9"/>
      <c r="J814" s="9"/>
      <c r="O814" s="5"/>
    </row>
    <row r="815" spans="2:15" x14ac:dyDescent="0.3">
      <c r="B815" s="9"/>
      <c r="I815" s="9"/>
      <c r="J815" s="9"/>
      <c r="O815" s="5"/>
    </row>
    <row r="816" spans="2:15" x14ac:dyDescent="0.3">
      <c r="B816" s="9"/>
      <c r="I816" s="9"/>
      <c r="J816" s="9"/>
      <c r="O816" s="5"/>
    </row>
    <row r="817" spans="2:15" x14ac:dyDescent="0.3">
      <c r="B817" s="9"/>
      <c r="I817" s="9"/>
      <c r="J817" s="9"/>
      <c r="O817" s="5"/>
    </row>
    <row r="818" spans="2:15" x14ac:dyDescent="0.3">
      <c r="B818" s="9"/>
      <c r="I818" s="9"/>
      <c r="J818" s="9"/>
      <c r="O818" s="5"/>
    </row>
    <row r="819" spans="2:15" x14ac:dyDescent="0.3">
      <c r="B819" s="9"/>
      <c r="I819" s="9"/>
      <c r="J819" s="9"/>
      <c r="O819" s="5"/>
    </row>
    <row r="820" spans="2:15" x14ac:dyDescent="0.3">
      <c r="B820" s="9"/>
      <c r="I820" s="9"/>
      <c r="J820" s="9"/>
      <c r="O820" s="5"/>
    </row>
    <row r="821" spans="2:15" x14ac:dyDescent="0.3">
      <c r="B821" s="9"/>
      <c r="I821" s="9"/>
      <c r="J821" s="9"/>
      <c r="O821" s="5"/>
    </row>
    <row r="822" spans="2:15" x14ac:dyDescent="0.3">
      <c r="B822" s="9"/>
      <c r="I822" s="9"/>
      <c r="J822" s="9"/>
      <c r="O822" s="5"/>
    </row>
    <row r="823" spans="2:15" x14ac:dyDescent="0.3">
      <c r="B823" s="9"/>
      <c r="I823" s="9"/>
      <c r="J823" s="9"/>
      <c r="O823" s="5"/>
    </row>
    <row r="824" spans="2:15" x14ac:dyDescent="0.3">
      <c r="B824" s="9"/>
      <c r="I824" s="9"/>
      <c r="J824" s="9"/>
      <c r="O824" s="5"/>
    </row>
    <row r="825" spans="2:15" x14ac:dyDescent="0.3">
      <c r="B825" s="9"/>
      <c r="I825" s="9"/>
      <c r="J825" s="9"/>
      <c r="O825" s="5"/>
    </row>
    <row r="826" spans="2:15" x14ac:dyDescent="0.3">
      <c r="B826" s="9"/>
      <c r="I826" s="9"/>
      <c r="J826" s="9"/>
      <c r="O826" s="5"/>
    </row>
    <row r="827" spans="2:15" x14ac:dyDescent="0.3">
      <c r="B827" s="9"/>
      <c r="I827" s="9"/>
      <c r="J827" s="9"/>
      <c r="O827" s="5"/>
    </row>
    <row r="828" spans="2:15" x14ac:dyDescent="0.3">
      <c r="B828" s="9"/>
      <c r="I828" s="9"/>
      <c r="J828" s="9"/>
      <c r="O828" s="5"/>
    </row>
    <row r="829" spans="2:15" x14ac:dyDescent="0.3">
      <c r="B829" s="9"/>
      <c r="I829" s="9"/>
      <c r="J829" s="9"/>
      <c r="O829" s="5"/>
    </row>
    <row r="830" spans="2:15" x14ac:dyDescent="0.3">
      <c r="B830" s="9"/>
      <c r="I830" s="9"/>
      <c r="J830" s="9"/>
      <c r="O830" s="5"/>
    </row>
    <row r="831" spans="2:15" x14ac:dyDescent="0.3">
      <c r="B831" s="9"/>
      <c r="I831" s="9"/>
      <c r="J831" s="9"/>
      <c r="O831" s="5"/>
    </row>
    <row r="832" spans="2:15" x14ac:dyDescent="0.3">
      <c r="B832" s="9"/>
      <c r="I832" s="9"/>
      <c r="J832" s="9"/>
      <c r="O832" s="5"/>
    </row>
    <row r="833" spans="2:15" x14ac:dyDescent="0.3">
      <c r="B833" s="9"/>
      <c r="I833" s="9"/>
      <c r="J833" s="9"/>
      <c r="O833" s="5"/>
    </row>
    <row r="834" spans="2:15" x14ac:dyDescent="0.3">
      <c r="B834" s="9"/>
      <c r="I834" s="9"/>
      <c r="J834" s="9"/>
      <c r="O834" s="5"/>
    </row>
    <row r="835" spans="2:15" x14ac:dyDescent="0.3">
      <c r="B835" s="9"/>
      <c r="I835" s="9"/>
      <c r="J835" s="9"/>
      <c r="O835" s="5"/>
    </row>
    <row r="836" spans="2:15" x14ac:dyDescent="0.3">
      <c r="B836" s="9"/>
      <c r="I836" s="9"/>
      <c r="J836" s="9"/>
      <c r="O836" s="5"/>
    </row>
    <row r="837" spans="2:15" x14ac:dyDescent="0.3">
      <c r="B837" s="9"/>
      <c r="I837" s="9"/>
      <c r="J837" s="9"/>
      <c r="O837" s="5"/>
    </row>
    <row r="838" spans="2:15" x14ac:dyDescent="0.3">
      <c r="B838" s="9"/>
      <c r="I838" s="9"/>
      <c r="J838" s="9"/>
      <c r="O838" s="5"/>
    </row>
    <row r="839" spans="2:15" x14ac:dyDescent="0.3">
      <c r="B839" s="9"/>
      <c r="I839" s="9"/>
      <c r="J839" s="9"/>
      <c r="O839" s="5"/>
    </row>
    <row r="840" spans="2:15" x14ac:dyDescent="0.3">
      <c r="B840" s="9"/>
      <c r="I840" s="9"/>
      <c r="J840" s="9"/>
      <c r="O840" s="5"/>
    </row>
    <row r="841" spans="2:15" x14ac:dyDescent="0.3">
      <c r="B841" s="9"/>
      <c r="I841" s="9"/>
      <c r="J841" s="9"/>
      <c r="O841" s="5"/>
    </row>
    <row r="842" spans="2:15" x14ac:dyDescent="0.3">
      <c r="B842" s="9"/>
      <c r="I842" s="9"/>
      <c r="J842" s="9"/>
      <c r="O842" s="5"/>
    </row>
    <row r="843" spans="2:15" x14ac:dyDescent="0.3">
      <c r="B843" s="9"/>
      <c r="I843" s="9"/>
      <c r="J843" s="9"/>
      <c r="O843" s="5"/>
    </row>
    <row r="844" spans="2:15" x14ac:dyDescent="0.3">
      <c r="B844" s="9"/>
      <c r="I844" s="9"/>
      <c r="J844" s="9"/>
      <c r="O844" s="5"/>
    </row>
    <row r="845" spans="2:15" x14ac:dyDescent="0.3">
      <c r="B845" s="9"/>
      <c r="I845" s="9"/>
      <c r="J845" s="9"/>
      <c r="O845" s="5"/>
    </row>
    <row r="846" spans="2:15" x14ac:dyDescent="0.3">
      <c r="B846" s="9"/>
      <c r="I846" s="9"/>
      <c r="J846" s="9"/>
      <c r="O846" s="5"/>
    </row>
    <row r="847" spans="2:15" x14ac:dyDescent="0.3">
      <c r="B847" s="9"/>
      <c r="I847" s="9"/>
      <c r="J847" s="9"/>
      <c r="O847" s="5"/>
    </row>
    <row r="848" spans="2:15" x14ac:dyDescent="0.3">
      <c r="B848" s="9"/>
      <c r="I848" s="9"/>
      <c r="J848" s="9"/>
      <c r="O848" s="5"/>
    </row>
    <row r="849" spans="2:15" x14ac:dyDescent="0.3">
      <c r="B849" s="9"/>
      <c r="I849" s="9"/>
      <c r="J849" s="9"/>
      <c r="O849" s="5"/>
    </row>
    <row r="850" spans="2:15" x14ac:dyDescent="0.3">
      <c r="B850" s="9"/>
      <c r="I850" s="9"/>
      <c r="J850" s="9"/>
      <c r="O850" s="5"/>
    </row>
    <row r="851" spans="2:15" x14ac:dyDescent="0.3">
      <c r="B851" s="9"/>
      <c r="I851" s="9"/>
      <c r="J851" s="9"/>
      <c r="O851" s="5"/>
    </row>
    <row r="852" spans="2:15" x14ac:dyDescent="0.3">
      <c r="B852" s="9"/>
      <c r="I852" s="9"/>
      <c r="J852" s="9"/>
      <c r="O852" s="5"/>
    </row>
    <row r="853" spans="2:15" x14ac:dyDescent="0.3">
      <c r="B853" s="9"/>
      <c r="I853" s="9"/>
      <c r="J853" s="9"/>
      <c r="O853" s="5"/>
    </row>
    <row r="854" spans="2:15" x14ac:dyDescent="0.3">
      <c r="B854" s="9"/>
      <c r="I854" s="9"/>
      <c r="J854" s="9"/>
      <c r="O854" s="5"/>
    </row>
    <row r="855" spans="2:15" x14ac:dyDescent="0.3">
      <c r="B855" s="9"/>
      <c r="I855" s="9"/>
      <c r="J855" s="9"/>
      <c r="O855" s="5"/>
    </row>
    <row r="856" spans="2:15" x14ac:dyDescent="0.3">
      <c r="B856" s="9"/>
      <c r="I856" s="9"/>
      <c r="J856" s="9"/>
      <c r="O856" s="5"/>
    </row>
    <row r="857" spans="2:15" x14ac:dyDescent="0.3">
      <c r="B857" s="9"/>
      <c r="I857" s="9"/>
      <c r="J857" s="9"/>
      <c r="O857" s="5"/>
    </row>
    <row r="858" spans="2:15" x14ac:dyDescent="0.3">
      <c r="B858" s="9"/>
      <c r="I858" s="9"/>
      <c r="J858" s="9"/>
      <c r="O858" s="5"/>
    </row>
    <row r="859" spans="2:15" x14ac:dyDescent="0.3">
      <c r="B859" s="9"/>
      <c r="I859" s="9"/>
      <c r="J859" s="9"/>
      <c r="O859" s="5"/>
    </row>
    <row r="860" spans="2:15" x14ac:dyDescent="0.3">
      <c r="B860" s="9"/>
      <c r="I860" s="9"/>
      <c r="J860" s="9"/>
      <c r="O860" s="5"/>
    </row>
    <row r="861" spans="2:15" x14ac:dyDescent="0.3">
      <c r="B861" s="9"/>
      <c r="I861" s="9"/>
      <c r="J861" s="9"/>
      <c r="O861" s="5"/>
    </row>
    <row r="862" spans="2:15" x14ac:dyDescent="0.3">
      <c r="B862" s="9"/>
      <c r="I862" s="9"/>
      <c r="J862" s="9"/>
      <c r="O862" s="5"/>
    </row>
    <row r="863" spans="2:15" x14ac:dyDescent="0.3">
      <c r="B863" s="9"/>
      <c r="I863" s="9"/>
      <c r="J863" s="9"/>
      <c r="O863" s="5"/>
    </row>
    <row r="864" spans="2:15" x14ac:dyDescent="0.3">
      <c r="B864" s="9"/>
      <c r="I864" s="9"/>
      <c r="J864" s="9"/>
      <c r="O864" s="5"/>
    </row>
    <row r="865" spans="2:15" x14ac:dyDescent="0.3">
      <c r="B865" s="9"/>
      <c r="I865" s="9"/>
      <c r="J865" s="9"/>
      <c r="O865" s="5"/>
    </row>
    <row r="866" spans="2:15" x14ac:dyDescent="0.3">
      <c r="B866" s="9"/>
      <c r="I866" s="9"/>
      <c r="J866" s="9"/>
      <c r="O866" s="5"/>
    </row>
    <row r="867" spans="2:15" x14ac:dyDescent="0.3">
      <c r="B867" s="9"/>
      <c r="I867" s="9"/>
      <c r="J867" s="9"/>
      <c r="O867" s="5"/>
    </row>
    <row r="868" spans="2:15" x14ac:dyDescent="0.3">
      <c r="B868" s="9"/>
      <c r="I868" s="9"/>
      <c r="J868" s="9"/>
      <c r="O868" s="5"/>
    </row>
    <row r="869" spans="2:15" x14ac:dyDescent="0.3">
      <c r="B869" s="9"/>
      <c r="I869" s="9"/>
      <c r="J869" s="9"/>
      <c r="O869" s="5"/>
    </row>
    <row r="870" spans="2:15" x14ac:dyDescent="0.3">
      <c r="B870" s="9"/>
      <c r="I870" s="9"/>
      <c r="J870" s="9"/>
      <c r="O870" s="5"/>
    </row>
    <row r="871" spans="2:15" x14ac:dyDescent="0.3">
      <c r="B871" s="9"/>
      <c r="I871" s="9"/>
      <c r="J871" s="9"/>
      <c r="O871" s="5"/>
    </row>
    <row r="872" spans="2:15" x14ac:dyDescent="0.3">
      <c r="B872" s="9"/>
      <c r="I872" s="9"/>
      <c r="J872" s="9"/>
      <c r="O872" s="5"/>
    </row>
    <row r="873" spans="2:15" x14ac:dyDescent="0.3">
      <c r="B873" s="9"/>
      <c r="I873" s="9"/>
      <c r="J873" s="9"/>
      <c r="O873" s="5"/>
    </row>
    <row r="874" spans="2:15" x14ac:dyDescent="0.3">
      <c r="B874" s="9"/>
      <c r="I874" s="9"/>
      <c r="J874" s="9"/>
      <c r="O874" s="5"/>
    </row>
    <row r="875" spans="2:15" x14ac:dyDescent="0.3">
      <c r="B875" s="9"/>
      <c r="I875" s="9"/>
      <c r="J875" s="9"/>
      <c r="O875" s="5"/>
    </row>
    <row r="876" spans="2:15" x14ac:dyDescent="0.3">
      <c r="B876" s="9"/>
      <c r="I876" s="9"/>
      <c r="J876" s="9"/>
      <c r="O876" s="5"/>
    </row>
    <row r="877" spans="2:15" x14ac:dyDescent="0.3">
      <c r="B877" s="9"/>
      <c r="I877" s="9"/>
      <c r="J877" s="9"/>
      <c r="O877" s="5"/>
    </row>
    <row r="878" spans="2:15" x14ac:dyDescent="0.3">
      <c r="B878" s="9"/>
      <c r="I878" s="9"/>
      <c r="J878" s="9"/>
      <c r="O878" s="5"/>
    </row>
    <row r="879" spans="2:15" x14ac:dyDescent="0.3">
      <c r="B879" s="9"/>
      <c r="I879" s="9"/>
      <c r="J879" s="9"/>
      <c r="O879" s="5"/>
    </row>
    <row r="880" spans="2:15" x14ac:dyDescent="0.3">
      <c r="B880" s="9"/>
      <c r="I880" s="9"/>
      <c r="J880" s="9"/>
      <c r="O880" s="5"/>
    </row>
    <row r="881" spans="2:15" x14ac:dyDescent="0.3">
      <c r="B881" s="9"/>
      <c r="I881" s="9"/>
      <c r="J881" s="9"/>
      <c r="O881" s="5"/>
    </row>
    <row r="882" spans="2:15" x14ac:dyDescent="0.3">
      <c r="B882" s="9"/>
      <c r="I882" s="9"/>
      <c r="J882" s="9"/>
      <c r="O882" s="5"/>
    </row>
    <row r="883" spans="2:15" x14ac:dyDescent="0.3">
      <c r="B883" s="9"/>
      <c r="I883" s="9"/>
      <c r="J883" s="9"/>
      <c r="O883" s="5"/>
    </row>
    <row r="884" spans="2:15" x14ac:dyDescent="0.3">
      <c r="B884" s="9"/>
      <c r="I884" s="9"/>
      <c r="J884" s="9"/>
      <c r="O884" s="5"/>
    </row>
    <row r="885" spans="2:15" x14ac:dyDescent="0.3">
      <c r="B885" s="9"/>
      <c r="I885" s="9"/>
      <c r="J885" s="9"/>
      <c r="O885" s="5"/>
    </row>
    <row r="886" spans="2:15" x14ac:dyDescent="0.3">
      <c r="B886" s="9"/>
      <c r="I886" s="9"/>
      <c r="J886" s="9"/>
      <c r="O886" s="5"/>
    </row>
    <row r="887" spans="2:15" x14ac:dyDescent="0.3">
      <c r="B887" s="9"/>
      <c r="I887" s="9"/>
      <c r="J887" s="9"/>
      <c r="O887" s="5"/>
    </row>
    <row r="888" spans="2:15" x14ac:dyDescent="0.3">
      <c r="B888" s="9"/>
      <c r="I888" s="9"/>
      <c r="J888" s="9"/>
      <c r="O888" s="5"/>
    </row>
    <row r="889" spans="2:15" x14ac:dyDescent="0.3">
      <c r="B889" s="9"/>
      <c r="I889" s="9"/>
      <c r="J889" s="9"/>
      <c r="O889" s="5"/>
    </row>
    <row r="890" spans="2:15" x14ac:dyDescent="0.3">
      <c r="B890" s="9"/>
      <c r="I890" s="9"/>
      <c r="J890" s="9"/>
      <c r="O890" s="5"/>
    </row>
    <row r="891" spans="2:15" x14ac:dyDescent="0.3">
      <c r="B891" s="9"/>
      <c r="I891" s="9"/>
      <c r="J891" s="9"/>
      <c r="O891" s="5"/>
    </row>
    <row r="892" spans="2:15" x14ac:dyDescent="0.3">
      <c r="B892" s="9"/>
      <c r="I892" s="9"/>
      <c r="J892" s="9"/>
      <c r="O892" s="5"/>
    </row>
    <row r="893" spans="2:15" x14ac:dyDescent="0.3">
      <c r="B893" s="9"/>
      <c r="I893" s="9"/>
      <c r="J893" s="9"/>
      <c r="O893" s="5"/>
    </row>
    <row r="894" spans="2:15" x14ac:dyDescent="0.3">
      <c r="B894" s="9"/>
      <c r="I894" s="9"/>
      <c r="J894" s="9"/>
      <c r="O894" s="5"/>
    </row>
    <row r="895" spans="2:15" x14ac:dyDescent="0.3">
      <c r="B895" s="9"/>
      <c r="I895" s="9"/>
      <c r="J895" s="9"/>
      <c r="O895" s="5"/>
    </row>
    <row r="896" spans="2:15" x14ac:dyDescent="0.3">
      <c r="B896" s="9"/>
      <c r="I896" s="9"/>
      <c r="J896" s="9"/>
      <c r="O896" s="5"/>
    </row>
    <row r="897" spans="2:15" x14ac:dyDescent="0.3">
      <c r="B897" s="9"/>
      <c r="I897" s="9"/>
      <c r="J897" s="9"/>
      <c r="O897" s="5"/>
    </row>
    <row r="898" spans="2:15" x14ac:dyDescent="0.3">
      <c r="B898" s="9"/>
      <c r="I898" s="9"/>
      <c r="J898" s="9"/>
      <c r="O898" s="5"/>
    </row>
    <row r="899" spans="2:15" x14ac:dyDescent="0.3">
      <c r="B899" s="9"/>
      <c r="I899" s="9"/>
      <c r="J899" s="9"/>
      <c r="O899" s="5"/>
    </row>
    <row r="900" spans="2:15" x14ac:dyDescent="0.3">
      <c r="B900" s="9"/>
      <c r="I900" s="9"/>
      <c r="J900" s="9"/>
      <c r="O900" s="5"/>
    </row>
    <row r="901" spans="2:15" x14ac:dyDescent="0.3">
      <c r="B901" s="9"/>
      <c r="I901" s="9"/>
      <c r="J901" s="9"/>
      <c r="O901" s="5"/>
    </row>
    <row r="902" spans="2:15" x14ac:dyDescent="0.3">
      <c r="B902" s="9"/>
      <c r="I902" s="9"/>
      <c r="J902" s="9"/>
      <c r="O902" s="5"/>
    </row>
    <row r="903" spans="2:15" x14ac:dyDescent="0.3">
      <c r="B903" s="9"/>
      <c r="I903" s="9"/>
      <c r="J903" s="9"/>
      <c r="O903" s="5"/>
    </row>
    <row r="904" spans="2:15" x14ac:dyDescent="0.3">
      <c r="B904" s="9"/>
      <c r="I904" s="9"/>
      <c r="J904" s="9"/>
      <c r="O904" s="5"/>
    </row>
    <row r="905" spans="2:15" x14ac:dyDescent="0.3">
      <c r="B905" s="9"/>
      <c r="I905" s="9"/>
      <c r="J905" s="9"/>
      <c r="O905" s="5"/>
    </row>
    <row r="906" spans="2:15" x14ac:dyDescent="0.3">
      <c r="B906" s="9"/>
      <c r="I906" s="9"/>
      <c r="J906" s="9"/>
      <c r="O906" s="5"/>
    </row>
    <row r="907" spans="2:15" x14ac:dyDescent="0.3">
      <c r="B907" s="9"/>
      <c r="I907" s="9"/>
      <c r="J907" s="9"/>
      <c r="O907" s="5"/>
    </row>
    <row r="908" spans="2:15" x14ac:dyDescent="0.3">
      <c r="B908" s="9"/>
      <c r="I908" s="9"/>
      <c r="J908" s="9"/>
      <c r="O908" s="5"/>
    </row>
    <row r="909" spans="2:15" x14ac:dyDescent="0.3">
      <c r="B909" s="9"/>
      <c r="I909" s="9"/>
      <c r="J909" s="9"/>
      <c r="O909" s="5"/>
    </row>
    <row r="910" spans="2:15" x14ac:dyDescent="0.3">
      <c r="B910" s="9"/>
      <c r="I910" s="9"/>
      <c r="J910" s="9"/>
      <c r="O910" s="5"/>
    </row>
    <row r="911" spans="2:15" x14ac:dyDescent="0.3">
      <c r="B911" s="9"/>
      <c r="I911" s="9"/>
      <c r="J911" s="9"/>
      <c r="O911" s="5"/>
    </row>
    <row r="912" spans="2:15" x14ac:dyDescent="0.3">
      <c r="B912" s="9"/>
      <c r="I912" s="9"/>
      <c r="J912" s="9"/>
      <c r="O912" s="5"/>
    </row>
    <row r="913" spans="2:15" x14ac:dyDescent="0.3">
      <c r="B913" s="9"/>
      <c r="I913" s="9"/>
      <c r="J913" s="9"/>
      <c r="O913" s="5"/>
    </row>
    <row r="914" spans="2:15" x14ac:dyDescent="0.3">
      <c r="B914" s="9"/>
      <c r="I914" s="9"/>
      <c r="J914" s="9"/>
      <c r="O914" s="5"/>
    </row>
    <row r="915" spans="2:15" x14ac:dyDescent="0.3">
      <c r="B915" s="9"/>
      <c r="I915" s="9"/>
      <c r="J915" s="9"/>
      <c r="O915" s="5"/>
    </row>
    <row r="916" spans="2:15" x14ac:dyDescent="0.3">
      <c r="B916" s="9"/>
      <c r="I916" s="9"/>
      <c r="J916" s="9"/>
      <c r="O916" s="5"/>
    </row>
    <row r="917" spans="2:15" x14ac:dyDescent="0.3">
      <c r="B917" s="9"/>
      <c r="I917" s="9"/>
      <c r="J917" s="9"/>
      <c r="O917" s="5"/>
    </row>
    <row r="918" spans="2:15" x14ac:dyDescent="0.3">
      <c r="B918" s="9"/>
      <c r="I918" s="9"/>
      <c r="J918" s="9"/>
      <c r="O918" s="5"/>
    </row>
    <row r="919" spans="2:15" x14ac:dyDescent="0.3">
      <c r="B919" s="9"/>
      <c r="I919" s="9"/>
      <c r="J919" s="9"/>
      <c r="O919" s="5"/>
    </row>
    <row r="920" spans="2:15" x14ac:dyDescent="0.3">
      <c r="B920" s="9"/>
      <c r="I920" s="9"/>
      <c r="J920" s="9"/>
      <c r="O920" s="5"/>
    </row>
    <row r="921" spans="2:15" x14ac:dyDescent="0.3">
      <c r="B921" s="9"/>
      <c r="I921" s="9"/>
      <c r="J921" s="9"/>
      <c r="O921" s="5"/>
    </row>
    <row r="922" spans="2:15" x14ac:dyDescent="0.3">
      <c r="B922" s="9"/>
      <c r="I922" s="9"/>
      <c r="J922" s="9"/>
      <c r="O922" s="5"/>
    </row>
    <row r="923" spans="2:15" x14ac:dyDescent="0.3">
      <c r="B923" s="9"/>
      <c r="I923" s="9"/>
      <c r="J923" s="9"/>
      <c r="O923" s="5"/>
    </row>
    <row r="924" spans="2:15" x14ac:dyDescent="0.3">
      <c r="B924" s="9"/>
      <c r="I924" s="9"/>
      <c r="J924" s="9"/>
      <c r="O924" s="5"/>
    </row>
    <row r="925" spans="2:15" x14ac:dyDescent="0.3">
      <c r="B925" s="9"/>
      <c r="I925" s="9"/>
      <c r="J925" s="9"/>
      <c r="O925" s="5"/>
    </row>
    <row r="926" spans="2:15" x14ac:dyDescent="0.3">
      <c r="B926" s="9"/>
      <c r="I926" s="9"/>
      <c r="J926" s="9"/>
      <c r="O926" s="5"/>
    </row>
    <row r="927" spans="2:15" x14ac:dyDescent="0.3">
      <c r="B927" s="9"/>
      <c r="I927" s="9"/>
      <c r="J927" s="9"/>
      <c r="O927" s="5"/>
    </row>
    <row r="928" spans="2:15" x14ac:dyDescent="0.3">
      <c r="B928" s="9"/>
      <c r="I928" s="9"/>
      <c r="J928" s="9"/>
      <c r="O928" s="5"/>
    </row>
    <row r="929" spans="2:15" x14ac:dyDescent="0.3">
      <c r="B929" s="9"/>
      <c r="I929" s="9"/>
      <c r="J929" s="9"/>
      <c r="O929" s="5"/>
    </row>
    <row r="930" spans="2:15" x14ac:dyDescent="0.3">
      <c r="B930" s="9"/>
      <c r="I930" s="9"/>
      <c r="J930" s="9"/>
      <c r="O930" s="5"/>
    </row>
    <row r="931" spans="2:15" x14ac:dyDescent="0.3">
      <c r="B931" s="9"/>
      <c r="I931" s="9"/>
      <c r="J931" s="9"/>
      <c r="O931" s="5"/>
    </row>
    <row r="932" spans="2:15" x14ac:dyDescent="0.3">
      <c r="B932" s="9"/>
      <c r="I932" s="9"/>
      <c r="J932" s="9"/>
      <c r="O932" s="5"/>
    </row>
    <row r="933" spans="2:15" x14ac:dyDescent="0.3">
      <c r="B933" s="9"/>
      <c r="I933" s="9"/>
      <c r="J933" s="9"/>
      <c r="O933" s="5"/>
    </row>
    <row r="934" spans="2:15" x14ac:dyDescent="0.3">
      <c r="B934" s="9"/>
      <c r="I934" s="9"/>
      <c r="J934" s="9"/>
      <c r="O934" s="5"/>
    </row>
    <row r="935" spans="2:15" x14ac:dyDescent="0.3">
      <c r="B935" s="9"/>
      <c r="I935" s="9"/>
      <c r="J935" s="9"/>
      <c r="O935" s="5"/>
    </row>
    <row r="936" spans="2:15" x14ac:dyDescent="0.3">
      <c r="B936" s="9"/>
      <c r="I936" s="9"/>
      <c r="J936" s="9"/>
      <c r="O936" s="5"/>
    </row>
    <row r="937" spans="2:15" x14ac:dyDescent="0.3">
      <c r="B937" s="9"/>
      <c r="I937" s="9"/>
      <c r="J937" s="9"/>
      <c r="O937" s="5"/>
    </row>
    <row r="938" spans="2:15" x14ac:dyDescent="0.3">
      <c r="B938" s="9"/>
      <c r="I938" s="9"/>
      <c r="J938" s="9"/>
      <c r="O938" s="5"/>
    </row>
    <row r="939" spans="2:15" x14ac:dyDescent="0.3">
      <c r="B939" s="9"/>
      <c r="I939" s="9"/>
      <c r="J939" s="9"/>
      <c r="O939" s="5"/>
    </row>
    <row r="940" spans="2:15" x14ac:dyDescent="0.3">
      <c r="B940" s="9"/>
      <c r="I940" s="9"/>
      <c r="J940" s="9"/>
      <c r="O940" s="5"/>
    </row>
    <row r="941" spans="2:15" x14ac:dyDescent="0.3">
      <c r="B941" s="9"/>
      <c r="I941" s="9"/>
      <c r="J941" s="9"/>
      <c r="O941" s="5"/>
    </row>
    <row r="942" spans="2:15" x14ac:dyDescent="0.3">
      <c r="B942" s="9"/>
      <c r="I942" s="9"/>
      <c r="J942" s="9"/>
      <c r="O942" s="5"/>
    </row>
    <row r="943" spans="2:15" x14ac:dyDescent="0.3">
      <c r="B943" s="9"/>
      <c r="I943" s="9"/>
      <c r="J943" s="9"/>
      <c r="O943" s="5"/>
    </row>
    <row r="944" spans="2:15" x14ac:dyDescent="0.3">
      <c r="B944" s="9"/>
      <c r="I944" s="9"/>
      <c r="J944" s="9"/>
      <c r="O944" s="5"/>
    </row>
    <row r="945" spans="2:15" x14ac:dyDescent="0.3">
      <c r="B945" s="9"/>
      <c r="I945" s="9"/>
      <c r="J945" s="9"/>
      <c r="O945" s="5"/>
    </row>
    <row r="946" spans="2:15" x14ac:dyDescent="0.3">
      <c r="B946" s="9"/>
      <c r="I946" s="9"/>
      <c r="J946" s="9"/>
      <c r="O946" s="5"/>
    </row>
    <row r="947" spans="2:15" x14ac:dyDescent="0.3">
      <c r="B947" s="9"/>
      <c r="I947" s="9"/>
      <c r="J947" s="9"/>
      <c r="O947" s="5"/>
    </row>
    <row r="948" spans="2:15" x14ac:dyDescent="0.3">
      <c r="B948" s="9"/>
      <c r="I948" s="9"/>
      <c r="J948" s="9"/>
      <c r="O948" s="5"/>
    </row>
    <row r="949" spans="2:15" x14ac:dyDescent="0.3">
      <c r="B949" s="9"/>
      <c r="I949" s="9"/>
      <c r="J949" s="9"/>
      <c r="O949" s="5"/>
    </row>
    <row r="950" spans="2:15" x14ac:dyDescent="0.3">
      <c r="B950" s="9"/>
      <c r="I950" s="9"/>
      <c r="J950" s="9"/>
      <c r="O950" s="5"/>
    </row>
    <row r="951" spans="2:15" x14ac:dyDescent="0.3">
      <c r="B951" s="9"/>
      <c r="I951" s="9"/>
      <c r="J951" s="9"/>
      <c r="O951" s="5"/>
    </row>
    <row r="952" spans="2:15" x14ac:dyDescent="0.3">
      <c r="B952" s="9"/>
      <c r="I952" s="9"/>
      <c r="J952" s="9"/>
      <c r="O952" s="5"/>
    </row>
    <row r="953" spans="2:15" x14ac:dyDescent="0.3">
      <c r="B953" s="9"/>
      <c r="I953" s="9"/>
      <c r="J953" s="9"/>
      <c r="O953" s="5"/>
    </row>
    <row r="954" spans="2:15" x14ac:dyDescent="0.3">
      <c r="B954" s="9"/>
      <c r="I954" s="9"/>
      <c r="J954" s="9"/>
      <c r="O954" s="5"/>
    </row>
    <row r="955" spans="2:15" x14ac:dyDescent="0.3">
      <c r="B955" s="9"/>
      <c r="I955" s="9"/>
      <c r="J955" s="9"/>
      <c r="O955" s="5"/>
    </row>
    <row r="956" spans="2:15" x14ac:dyDescent="0.3">
      <c r="B956" s="9"/>
      <c r="I956" s="9"/>
      <c r="J956" s="9"/>
      <c r="O956" s="5"/>
    </row>
    <row r="957" spans="2:15" x14ac:dyDescent="0.3">
      <c r="B957" s="9"/>
      <c r="I957" s="9"/>
      <c r="J957" s="9"/>
      <c r="O957" s="5"/>
    </row>
    <row r="958" spans="2:15" x14ac:dyDescent="0.3">
      <c r="B958" s="9"/>
      <c r="I958" s="9"/>
      <c r="J958" s="9"/>
      <c r="O958" s="5"/>
    </row>
    <row r="959" spans="2:15" x14ac:dyDescent="0.3">
      <c r="B959" s="9"/>
      <c r="I959" s="9"/>
      <c r="J959" s="9"/>
      <c r="O959" s="5"/>
    </row>
    <row r="960" spans="2:15" x14ac:dyDescent="0.3">
      <c r="B960" s="9"/>
      <c r="I960" s="9"/>
      <c r="J960" s="9"/>
      <c r="O960" s="5"/>
    </row>
    <row r="961" spans="2:15" x14ac:dyDescent="0.3">
      <c r="B961" s="9"/>
      <c r="I961" s="9"/>
      <c r="J961" s="9"/>
      <c r="O961" s="5"/>
    </row>
    <row r="962" spans="2:15" x14ac:dyDescent="0.3">
      <c r="B962" s="9"/>
      <c r="I962" s="9"/>
      <c r="J962" s="9"/>
      <c r="O962" s="5"/>
    </row>
    <row r="963" spans="2:15" x14ac:dyDescent="0.3">
      <c r="B963" s="9"/>
      <c r="I963" s="9"/>
      <c r="J963" s="9"/>
      <c r="O963" s="5"/>
    </row>
    <row r="964" spans="2:15" x14ac:dyDescent="0.3">
      <c r="B964" s="9"/>
      <c r="I964" s="9"/>
      <c r="J964" s="9"/>
      <c r="O964" s="5"/>
    </row>
    <row r="965" spans="2:15" x14ac:dyDescent="0.3">
      <c r="B965" s="9"/>
      <c r="I965" s="9"/>
      <c r="J965" s="9"/>
      <c r="O965" s="5"/>
    </row>
    <row r="966" spans="2:15" x14ac:dyDescent="0.3">
      <c r="B966" s="9"/>
      <c r="I966" s="9"/>
      <c r="J966" s="9"/>
      <c r="O966" s="5"/>
    </row>
    <row r="967" spans="2:15" x14ac:dyDescent="0.3">
      <c r="B967" s="9"/>
      <c r="I967" s="9"/>
      <c r="J967" s="9"/>
      <c r="O967" s="5"/>
    </row>
    <row r="968" spans="2:15" x14ac:dyDescent="0.3">
      <c r="B968" s="9"/>
      <c r="I968" s="9"/>
      <c r="J968" s="9"/>
      <c r="O968" s="5"/>
    </row>
    <row r="969" spans="2:15" x14ac:dyDescent="0.3">
      <c r="B969" s="9"/>
      <c r="I969" s="9"/>
      <c r="J969" s="9"/>
      <c r="O969" s="5"/>
    </row>
    <row r="970" spans="2:15" x14ac:dyDescent="0.3">
      <c r="B970" s="9"/>
      <c r="I970" s="9"/>
      <c r="J970" s="9"/>
      <c r="O970" s="5"/>
    </row>
    <row r="971" spans="2:15" x14ac:dyDescent="0.3">
      <c r="B971" s="9"/>
      <c r="I971" s="9"/>
      <c r="J971" s="9"/>
      <c r="O971" s="5"/>
    </row>
    <row r="972" spans="2:15" x14ac:dyDescent="0.3">
      <c r="B972" s="9"/>
      <c r="I972" s="9"/>
      <c r="J972" s="9"/>
      <c r="O972" s="5"/>
    </row>
    <row r="973" spans="2:15" x14ac:dyDescent="0.3">
      <c r="B973" s="9"/>
      <c r="I973" s="9"/>
      <c r="J973" s="9"/>
      <c r="O973" s="5"/>
    </row>
    <row r="974" spans="2:15" x14ac:dyDescent="0.3">
      <c r="B974" s="9"/>
      <c r="I974" s="9"/>
      <c r="J974" s="9"/>
      <c r="O974" s="5"/>
    </row>
    <row r="975" spans="2:15" x14ac:dyDescent="0.3">
      <c r="B975" s="9"/>
      <c r="I975" s="9"/>
      <c r="J975" s="9"/>
      <c r="O975" s="5"/>
    </row>
    <row r="976" spans="2:15" x14ac:dyDescent="0.3">
      <c r="B976" s="9"/>
      <c r="I976" s="9"/>
      <c r="J976" s="9"/>
      <c r="O976" s="5"/>
    </row>
    <row r="977" spans="2:15" x14ac:dyDescent="0.3">
      <c r="B977" s="9"/>
      <c r="I977" s="9"/>
      <c r="J977" s="9"/>
      <c r="O977" s="5"/>
    </row>
    <row r="978" spans="2:15" x14ac:dyDescent="0.3">
      <c r="B978" s="9"/>
      <c r="I978" s="9"/>
      <c r="J978" s="9"/>
      <c r="O978" s="5"/>
    </row>
    <row r="979" spans="2:15" x14ac:dyDescent="0.3">
      <c r="B979" s="9"/>
      <c r="I979" s="9"/>
      <c r="J979" s="9"/>
      <c r="O979" s="5"/>
    </row>
    <row r="980" spans="2:15" x14ac:dyDescent="0.3">
      <c r="B980" s="9"/>
      <c r="I980" s="9"/>
      <c r="J980" s="9"/>
      <c r="O980" s="5"/>
    </row>
    <row r="981" spans="2:15" x14ac:dyDescent="0.3">
      <c r="B981" s="9"/>
      <c r="I981" s="9"/>
      <c r="J981" s="9"/>
      <c r="O981" s="5"/>
    </row>
    <row r="982" spans="2:15" x14ac:dyDescent="0.3">
      <c r="B982" s="9"/>
      <c r="I982" s="9"/>
      <c r="J982" s="9"/>
      <c r="O982" s="5"/>
    </row>
    <row r="983" spans="2:15" x14ac:dyDescent="0.3">
      <c r="B983" s="9"/>
      <c r="I983" s="9"/>
      <c r="J983" s="9"/>
      <c r="O983" s="5"/>
    </row>
    <row r="984" spans="2:15" x14ac:dyDescent="0.3">
      <c r="B984" s="9"/>
      <c r="I984" s="9"/>
      <c r="J984" s="9"/>
      <c r="O984" s="5"/>
    </row>
    <row r="985" spans="2:15" x14ac:dyDescent="0.3">
      <c r="B985" s="9"/>
      <c r="I985" s="9"/>
      <c r="J985" s="9"/>
      <c r="O985" s="5"/>
    </row>
    <row r="986" spans="2:15" x14ac:dyDescent="0.3">
      <c r="B986" s="9"/>
      <c r="I986" s="9"/>
      <c r="J986" s="9"/>
      <c r="O986" s="5"/>
    </row>
    <row r="987" spans="2:15" x14ac:dyDescent="0.3">
      <c r="B987" s="9"/>
      <c r="I987" s="9"/>
      <c r="J987" s="9"/>
      <c r="O987" s="5"/>
    </row>
    <row r="988" spans="2:15" x14ac:dyDescent="0.3">
      <c r="B988" s="9"/>
      <c r="I988" s="9"/>
      <c r="J988" s="9"/>
      <c r="O988" s="5"/>
    </row>
    <row r="989" spans="2:15" x14ac:dyDescent="0.3">
      <c r="B989" s="9"/>
      <c r="I989" s="9"/>
      <c r="J989" s="9"/>
      <c r="O989" s="5"/>
    </row>
    <row r="990" spans="2:15" x14ac:dyDescent="0.3">
      <c r="B990" s="9"/>
      <c r="I990" s="9"/>
      <c r="J990" s="9"/>
      <c r="O990" s="5"/>
    </row>
    <row r="991" spans="2:15" x14ac:dyDescent="0.3">
      <c r="B991" s="9"/>
      <c r="I991" s="9"/>
      <c r="J991" s="9"/>
      <c r="O991" s="5"/>
    </row>
    <row r="992" spans="2:15" x14ac:dyDescent="0.3">
      <c r="B992" s="9"/>
      <c r="I992" s="9"/>
      <c r="J992" s="9"/>
      <c r="O992" s="5"/>
    </row>
    <row r="993" spans="2:15" x14ac:dyDescent="0.3">
      <c r="B993" s="9"/>
      <c r="I993" s="9"/>
      <c r="J993" s="9"/>
      <c r="O993" s="5"/>
    </row>
    <row r="994" spans="2:15" x14ac:dyDescent="0.3">
      <c r="B994" s="9"/>
      <c r="I994" s="9"/>
      <c r="J994" s="9"/>
      <c r="O994" s="5"/>
    </row>
    <row r="995" spans="2:15" x14ac:dyDescent="0.3">
      <c r="B995" s="9"/>
      <c r="I995" s="9"/>
      <c r="J995" s="9"/>
      <c r="O995" s="5"/>
    </row>
    <row r="996" spans="2:15" x14ac:dyDescent="0.3">
      <c r="B996" s="9"/>
      <c r="I996" s="9"/>
      <c r="J996" s="9"/>
      <c r="O996" s="5"/>
    </row>
    <row r="997" spans="2:15" x14ac:dyDescent="0.3">
      <c r="B997" s="9"/>
      <c r="I997" s="9"/>
      <c r="J997" s="9"/>
      <c r="O997" s="5"/>
    </row>
    <row r="998" spans="2:15" x14ac:dyDescent="0.3">
      <c r="B998" s="9"/>
      <c r="I998" s="9"/>
      <c r="J998" s="9"/>
      <c r="O998" s="5"/>
    </row>
    <row r="999" spans="2:15" x14ac:dyDescent="0.3">
      <c r="B999" s="9"/>
      <c r="I999" s="9"/>
      <c r="J999" s="9"/>
      <c r="O999" s="5"/>
    </row>
    <row r="1000" spans="2:15" x14ac:dyDescent="0.3">
      <c r="B1000" s="9"/>
      <c r="I1000" s="9"/>
      <c r="J1000" s="9"/>
      <c r="O1000" s="5"/>
    </row>
  </sheetData>
  <conditionalFormatting sqref="K2:K1000">
    <cfRule type="expression" dxfId="18" priority="1">
      <formula>$K2="مكتمل"</formula>
    </cfRule>
    <cfRule type="expression" dxfId="17" priority="2">
      <formula>$K2="جاري"</formula>
    </cfRule>
    <cfRule type="expression" dxfId="16" priority="3">
      <formula>$K2="متعثر"</formula>
    </cfRule>
    <cfRule type="expression" dxfId="15" priority="4">
      <formula>$K2="مؤجل"</formula>
    </cfRule>
    <cfRule type="expression" dxfId="14" priority="5">
      <formula>$K2="لم يبدأ"</formula>
    </cfRule>
    <cfRule type="expression" dxfId="13" priority="6">
      <formula>$K2="جديد"</formula>
    </cfRule>
    <cfRule type="cellIs" dxfId="12" priority="10" operator="greaterThanOrEqual">
      <formula>0.95</formula>
    </cfRule>
    <cfRule type="cellIs" dxfId="11" priority="11" operator="between">
      <formula>0.2</formula>
      <formula>0.95</formula>
    </cfRule>
    <cfRule type="cellIs" dxfId="10" priority="12" operator="lessThan">
      <formula>0.2</formula>
    </cfRule>
  </conditionalFormatting>
  <conditionalFormatting sqref="L2:L1000">
    <cfRule type="expression" dxfId="9" priority="7">
      <formula>$L2="متوفر"</formula>
    </cfRule>
    <cfRule type="expression" dxfId="8" priority="8">
      <formula>$L2="جزئي"</formula>
    </cfRule>
    <cfRule type="expression" dxfId="7" priority="9">
      <formula>$L2="غير متوفر"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3"/>
  <sheetViews>
    <sheetView rightToLeft="1" tabSelected="1" topLeftCell="B19" workbookViewId="0">
      <selection activeCell="E27" sqref="E27"/>
    </sheetView>
  </sheetViews>
  <sheetFormatPr defaultRowHeight="14.4" x14ac:dyDescent="0.3"/>
  <cols>
    <col min="1" max="1" width="12" customWidth="1"/>
    <col min="2" max="2" width="60" customWidth="1"/>
    <col min="3" max="3" width="14" customWidth="1"/>
    <col min="4" max="4" width="22" customWidth="1"/>
    <col min="5" max="5" width="30" customWidth="1"/>
    <col min="6" max="6" width="22" customWidth="1"/>
    <col min="7" max="8" width="18" customWidth="1"/>
    <col min="9" max="9" width="30" bestFit="1" customWidth="1"/>
  </cols>
  <sheetData>
    <row r="1" spans="1:8" ht="24" customHeight="1" x14ac:dyDescent="0.3">
      <c r="A1" s="7" t="s">
        <v>7</v>
      </c>
      <c r="B1" s="7" t="s">
        <v>8</v>
      </c>
      <c r="C1" s="7" t="s">
        <v>516</v>
      </c>
      <c r="D1" s="7" t="s">
        <v>517</v>
      </c>
      <c r="E1" s="7" t="s">
        <v>332</v>
      </c>
      <c r="F1" s="8" t="s">
        <v>518</v>
      </c>
      <c r="G1" s="8" t="s">
        <v>519</v>
      </c>
      <c r="H1" s="7" t="s">
        <v>277</v>
      </c>
    </row>
    <row r="2" spans="1:8" ht="28.8" customHeight="1" x14ac:dyDescent="0.3">
      <c r="A2" s="2" t="s">
        <v>107</v>
      </c>
      <c r="B2" s="2" t="s">
        <v>520</v>
      </c>
      <c r="C2" s="2" t="s">
        <v>521</v>
      </c>
      <c r="D2" s="2" t="s">
        <v>295</v>
      </c>
      <c r="E2" s="2" t="s">
        <v>522</v>
      </c>
      <c r="F2" s="14">
        <f>IF(COUNTIF(Link_Project_Gap!$B$2:$B$112,$A2)&gt;0,IFERROR(AVERAGEIF(Link_Project_Gap!$B$2:$B$112,$A2,Link_Project_Gap!$C$2:$C$112),0),IFERROR(AVERAGEIF(Link_Gap_Req!$A$2:$A$79,$A2,Link_Gap_Req!$C$2:$C$79),0))</f>
        <v>0.44155</v>
      </c>
      <c r="G2" t="str">
        <f>IF(COUNTIF(Link_Project_Gap!$B$2:$B$112,$A2)&gt;0,"من المشاريع",IF(COUNTIF(Link_Gap_Req!$A$2:$A$79,$A2)&gt;0,"من المتطلبات","لا يوجد ربط"))</f>
        <v>من المشاريع</v>
      </c>
      <c r="H2" s="2"/>
    </row>
    <row r="3" spans="1:8" ht="43.2" customHeight="1" x14ac:dyDescent="0.3">
      <c r="A3" s="2" t="s">
        <v>117</v>
      </c>
      <c r="B3" s="2" t="s">
        <v>523</v>
      </c>
      <c r="C3" s="2" t="s">
        <v>521</v>
      </c>
      <c r="D3" s="2" t="s">
        <v>452</v>
      </c>
      <c r="E3" s="2" t="s">
        <v>340</v>
      </c>
      <c r="F3" s="14">
        <f>IF(COUNTIF(Link_Project_Gap!$B$2:$B$112,$A3)&gt;0,IFERROR(AVERAGEIF(Link_Project_Gap!$B$2:$B$112,$A3,Link_Project_Gap!$C$2:$C$112),0),IFERROR(AVERAGEIF(Link_Gap_Req!$A$2:$A$79,$A3,Link_Gap_Req!$C$2:$C$79),0))</f>
        <v>0.375</v>
      </c>
      <c r="G3" t="str">
        <f>IF(COUNTIF(Link_Project_Gap!$B$2:$B$112,$A3)&gt;0,"من المشاريع",IF(COUNTIF(Link_Gap_Req!$A$2:$A$79,$A3)&gt;0,"من المتطلبات","لا يوجد ربط"))</f>
        <v>من المشاريع</v>
      </c>
      <c r="H3" s="2"/>
    </row>
    <row r="4" spans="1:8" x14ac:dyDescent="0.3">
      <c r="A4" s="2" t="s">
        <v>126</v>
      </c>
      <c r="B4" s="2" t="s">
        <v>524</v>
      </c>
      <c r="C4" s="2" t="s">
        <v>521</v>
      </c>
      <c r="D4" s="2"/>
      <c r="E4" s="2"/>
      <c r="F4" s="14">
        <f>IF(COUNTIF(Link_Project_Gap!$B$2:$B$112,$A4)&gt;0,IFERROR(AVERAGEIF(Link_Project_Gap!$B$2:$B$112,$A4,Link_Project_Gap!$C$2:$C$112),0),IFERROR(AVERAGEIF(Link_Gap_Req!$A$2:$A$79,$A4,Link_Gap_Req!$C$2:$C$79),0))</f>
        <v>0</v>
      </c>
      <c r="G4" t="str">
        <f>IF(COUNTIF(Link_Project_Gap!$B$2:$B$112,$A4)&gt;0,"من المشاريع",IF(COUNTIF(Link_Gap_Req!$A$2:$A$79,$A4)&gt;0,"من المتطلبات","لا يوجد ربط"))</f>
        <v>لا يوجد ربط</v>
      </c>
      <c r="H4" s="2"/>
    </row>
    <row r="5" spans="1:8" ht="28.8" customHeight="1" x14ac:dyDescent="0.3">
      <c r="A5" s="2" t="s">
        <v>132</v>
      </c>
      <c r="B5" s="2" t="s">
        <v>525</v>
      </c>
      <c r="C5" s="2" t="s">
        <v>521</v>
      </c>
      <c r="D5" s="2" t="s">
        <v>52</v>
      </c>
      <c r="E5" s="2" t="s">
        <v>397</v>
      </c>
      <c r="F5" s="14">
        <f>IF(COUNTIF(Link_Project_Gap!$B$2:$B$112,$A5)&gt;0,IFERROR(AVERAGEIF(Link_Project_Gap!$B$2:$B$112,$A5,Link_Project_Gap!$C$2:$C$112),0),IFERROR(AVERAGEIF(Link_Gap_Req!$A$2:$A$79,$A5,Link_Gap_Req!$C$2:$C$79),0))</f>
        <v>0.1</v>
      </c>
      <c r="G5" t="str">
        <f>IF(COUNTIF(Link_Project_Gap!$B$2:$B$112,$A5)&gt;0,"من المشاريع",IF(COUNTIF(Link_Gap_Req!$A$2:$A$79,$A5)&gt;0,"من المتطلبات","لا يوجد ربط"))</f>
        <v>من المشاريع</v>
      </c>
      <c r="H5" s="2"/>
    </row>
    <row r="6" spans="1:8" ht="72" customHeight="1" x14ac:dyDescent="0.3">
      <c r="A6" s="2" t="s">
        <v>138</v>
      </c>
      <c r="B6" s="2" t="s">
        <v>526</v>
      </c>
      <c r="C6" s="2" t="s">
        <v>521</v>
      </c>
      <c r="D6" s="2" t="s">
        <v>527</v>
      </c>
      <c r="E6" s="2" t="s">
        <v>651</v>
      </c>
      <c r="F6" s="14">
        <f>IF(COUNTIF(Link_Project_Gap!$B$2:$B$112,$A6)&gt;0,IFERROR(AVERAGEIF(Link_Project_Gap!$B$2:$B$112,$A6,Link_Project_Gap!$C$2:$C$112),0),IFERROR(AVERAGEIF(Link_Gap_Req!$A$2:$A$79,$A6,Link_Gap_Req!$C$2:$C$79),0))</f>
        <v>6.6666666666666666E-2</v>
      </c>
      <c r="G6" t="str">
        <f>IF(COUNTIF(Link_Project_Gap!$B$2:$B$112,$A6)&gt;0,"من المشاريع",IF(COUNTIF(Link_Gap_Req!$A$2:$A$79,$A6)&gt;0,"من المتطلبات","لا يوجد ربط"))</f>
        <v>من المشاريع</v>
      </c>
      <c r="H6" s="2"/>
    </row>
    <row r="7" spans="1:8" ht="43.2" customHeight="1" x14ac:dyDescent="0.3">
      <c r="A7" s="2" t="s">
        <v>143</v>
      </c>
      <c r="B7" s="2" t="s">
        <v>528</v>
      </c>
      <c r="C7" s="2" t="s">
        <v>521</v>
      </c>
      <c r="D7" s="2" t="s">
        <v>529</v>
      </c>
      <c r="E7" s="2" t="s">
        <v>340</v>
      </c>
      <c r="F7" s="14">
        <f>IF(COUNTIF(Link_Project_Gap!$B$2:$B$112,$A7)&gt;0,IFERROR(AVERAGEIF(Link_Project_Gap!$B$2:$B$112,$A7,Link_Project_Gap!$C$2:$C$112),0),IFERROR(AVERAGEIF(Link_Gap_Req!$A$2:$A$79,$A7,Link_Gap_Req!$C$2:$C$79),0))</f>
        <v>0.375</v>
      </c>
      <c r="G7" t="str">
        <f>IF(COUNTIF(Link_Project_Gap!$B$2:$B$112,$A7)&gt;0,"من المشاريع",IF(COUNTIF(Link_Gap_Req!$A$2:$A$79,$A7)&gt;0,"من المتطلبات","لا يوجد ربط"))</f>
        <v>من المشاريع</v>
      </c>
      <c r="H7" s="2"/>
    </row>
    <row r="8" spans="1:8" ht="43.2" customHeight="1" x14ac:dyDescent="0.3">
      <c r="A8" s="2" t="s">
        <v>146</v>
      </c>
      <c r="B8" s="2" t="s">
        <v>530</v>
      </c>
      <c r="C8" s="2" t="s">
        <v>521</v>
      </c>
      <c r="D8" s="2" t="s">
        <v>531</v>
      </c>
      <c r="E8" s="2" t="s">
        <v>73</v>
      </c>
      <c r="F8" s="14">
        <f>IF(COUNTIF(Link_Project_Gap!$B$2:$B$112,$A8)&gt;0,IFERROR(AVERAGEIF(Link_Project_Gap!$B$2:$B$112,$A8,Link_Project_Gap!$C$2:$C$112),0),IFERROR(AVERAGEIF(Link_Gap_Req!$A$2:$A$79,$A8,Link_Gap_Req!$C$2:$C$79),0))</f>
        <v>0.4</v>
      </c>
      <c r="G8" t="str">
        <f>IF(COUNTIF(Link_Project_Gap!$B$2:$B$112,$A8)&gt;0,"من المشاريع",IF(COUNTIF(Link_Gap_Req!$A$2:$A$79,$A8)&gt;0,"من المتطلبات","لا يوجد ربط"))</f>
        <v>من المشاريع</v>
      </c>
      <c r="H8" s="2"/>
    </row>
    <row r="9" spans="1:8" ht="28.8" customHeight="1" x14ac:dyDescent="0.3">
      <c r="A9" s="2" t="s">
        <v>149</v>
      </c>
      <c r="B9" s="2" t="s">
        <v>532</v>
      </c>
      <c r="C9" s="2" t="s">
        <v>521</v>
      </c>
      <c r="D9" s="2"/>
      <c r="E9" s="2"/>
      <c r="F9" s="14">
        <f>IF(COUNTIF(Link_Project_Gap!$B$2:$B$112,$A9)&gt;0,IFERROR(AVERAGEIF(Link_Project_Gap!$B$2:$B$112,$A9,Link_Project_Gap!$C$2:$C$112),0),IFERROR(AVERAGEIF(Link_Gap_Req!$A$2:$A$79,$A9,Link_Gap_Req!$C$2:$C$79),0))</f>
        <v>0</v>
      </c>
      <c r="G9" t="str">
        <f>IF(COUNTIF(Link_Project_Gap!$B$2:$B$112,$A9)&gt;0,"من المشاريع",IF(COUNTIF(Link_Gap_Req!$A$2:$A$79,$A9)&gt;0,"من المتطلبات","لا يوجد ربط"))</f>
        <v>لا يوجد ربط</v>
      </c>
      <c r="H9" s="2"/>
    </row>
    <row r="10" spans="1:8" ht="28.8" customHeight="1" x14ac:dyDescent="0.3">
      <c r="A10" s="2" t="s">
        <v>151</v>
      </c>
      <c r="B10" s="2" t="s">
        <v>533</v>
      </c>
      <c r="C10" s="2" t="s">
        <v>521</v>
      </c>
      <c r="D10" s="2"/>
      <c r="E10" s="2"/>
      <c r="F10" s="14">
        <f>IF(COUNTIF(Link_Project_Gap!$B$2:$B$112,$A10)&gt;0,IFERROR(AVERAGEIF(Link_Project_Gap!$B$2:$B$112,$A10,Link_Project_Gap!$C$2:$C$112),0),IFERROR(AVERAGEIF(Link_Gap_Req!$A$2:$A$79,$A10,Link_Gap_Req!$C$2:$C$79),0))</f>
        <v>0</v>
      </c>
      <c r="G10" t="str">
        <f>IF(COUNTIF(Link_Project_Gap!$B$2:$B$112,$A10)&gt;0,"من المشاريع",IF(COUNTIF(Link_Gap_Req!$A$2:$A$79,$A10)&gt;0,"من المتطلبات","لا يوجد ربط"))</f>
        <v>لا يوجد ربط</v>
      </c>
      <c r="H10" s="2"/>
    </row>
    <row r="11" spans="1:8" ht="28.8" customHeight="1" x14ac:dyDescent="0.3">
      <c r="A11" s="2" t="s">
        <v>153</v>
      </c>
      <c r="B11" s="2" t="s">
        <v>534</v>
      </c>
      <c r="C11" s="2" t="s">
        <v>521</v>
      </c>
      <c r="D11" s="2" t="s">
        <v>508</v>
      </c>
      <c r="E11" s="2" t="s">
        <v>67</v>
      </c>
      <c r="F11" s="14">
        <f>IF(COUNTIF(Link_Project_Gap!$B$2:$B$112,$A11)&gt;0,IFERROR(AVERAGEIF(Link_Project_Gap!$B$2:$B$112,$A11,Link_Project_Gap!$C$2:$C$112),0),IFERROR(AVERAGEIF(Link_Gap_Req!$A$2:$A$79,$A11,Link_Gap_Req!$C$2:$C$79),0))</f>
        <v>0.75</v>
      </c>
      <c r="G11" t="str">
        <f>IF(COUNTIF(Link_Project_Gap!$B$2:$B$112,$A11)&gt;0,"من المشاريع",IF(COUNTIF(Link_Gap_Req!$A$2:$A$79,$A11)&gt;0,"من المتطلبات","لا يوجد ربط"))</f>
        <v>من المشاريع</v>
      </c>
      <c r="H11" s="2"/>
    </row>
    <row r="12" spans="1:8" x14ac:dyDescent="0.3">
      <c r="A12" s="2" t="s">
        <v>155</v>
      </c>
      <c r="B12" s="2" t="s">
        <v>535</v>
      </c>
      <c r="C12" s="2" t="s">
        <v>521</v>
      </c>
      <c r="D12" s="2"/>
      <c r="E12" s="2"/>
      <c r="F12" s="14">
        <f>IF(COUNTIF(Link_Project_Gap!$B$2:$B$112,$A12)&gt;0,IFERROR(AVERAGEIF(Link_Project_Gap!$B$2:$B$112,$A12,Link_Project_Gap!$C$2:$C$112),0),IFERROR(AVERAGEIF(Link_Gap_Req!$A$2:$A$79,$A12,Link_Gap_Req!$C$2:$C$79),0))</f>
        <v>0</v>
      </c>
      <c r="G12" t="str">
        <f>IF(COUNTIF(Link_Project_Gap!$B$2:$B$112,$A12)&gt;0,"من المشاريع",IF(COUNTIF(Link_Gap_Req!$A$2:$A$79,$A12)&gt;0,"من المتطلبات","لا يوجد ربط"))</f>
        <v>لا يوجد ربط</v>
      </c>
      <c r="H12" s="2"/>
    </row>
    <row r="13" spans="1:8" x14ac:dyDescent="0.3">
      <c r="A13" s="2" t="s">
        <v>157</v>
      </c>
      <c r="B13" s="2" t="s">
        <v>536</v>
      </c>
      <c r="C13" s="2" t="s">
        <v>521</v>
      </c>
      <c r="D13" s="2"/>
      <c r="E13" s="2"/>
      <c r="F13" s="14">
        <f>IF(COUNTIF(Link_Project_Gap!$B$2:$B$112,$A13)&gt;0,IFERROR(AVERAGEIF(Link_Project_Gap!$B$2:$B$112,$A13,Link_Project_Gap!$C$2:$C$112),0),IFERROR(AVERAGEIF(Link_Gap_Req!$A$2:$A$79,$A13,Link_Gap_Req!$C$2:$C$79),0))</f>
        <v>0</v>
      </c>
      <c r="G13" t="str">
        <f>IF(COUNTIF(Link_Project_Gap!$B$2:$B$112,$A13)&gt;0,"من المشاريع",IF(COUNTIF(Link_Gap_Req!$A$2:$A$79,$A13)&gt;0,"من المتطلبات","لا يوجد ربط"))</f>
        <v>لا يوجد ربط</v>
      </c>
      <c r="H13" s="2"/>
    </row>
    <row r="14" spans="1:8" ht="43.2" customHeight="1" x14ac:dyDescent="0.3">
      <c r="A14" s="2" t="s">
        <v>159</v>
      </c>
      <c r="B14" s="2" t="s">
        <v>537</v>
      </c>
      <c r="C14" s="2" t="s">
        <v>521</v>
      </c>
      <c r="D14" s="2" t="s">
        <v>335</v>
      </c>
      <c r="E14" s="2" t="s">
        <v>340</v>
      </c>
      <c r="F14" s="14">
        <f>IF(COUNTIF(Link_Project_Gap!$B$2:$B$112,$A14)&gt;0,IFERROR(AVERAGEIF(Link_Project_Gap!$B$2:$B$112,$A14,Link_Project_Gap!$C$2:$C$112),0),IFERROR(AVERAGEIF(Link_Gap_Req!$A$2:$A$79,$A14,Link_Gap_Req!$C$2:$C$79),0))</f>
        <v>0.375</v>
      </c>
      <c r="G14" t="str">
        <f>IF(COUNTIF(Link_Project_Gap!$B$2:$B$112,$A14)&gt;0,"من المشاريع",IF(COUNTIF(Link_Gap_Req!$A$2:$A$79,$A14)&gt;0,"من المتطلبات","لا يوجد ربط"))</f>
        <v>من المشاريع</v>
      </c>
      <c r="H14" s="2"/>
    </row>
    <row r="15" spans="1:8" ht="28.8" customHeight="1" x14ac:dyDescent="0.3">
      <c r="A15" s="2" t="s">
        <v>161</v>
      </c>
      <c r="B15" s="2" t="s">
        <v>538</v>
      </c>
      <c r="C15" s="2" t="s">
        <v>521</v>
      </c>
      <c r="D15" s="2" t="s">
        <v>539</v>
      </c>
      <c r="E15" s="2" t="s">
        <v>540</v>
      </c>
      <c r="F15" s="14">
        <f>IF(COUNTIF(Link_Project_Gap!$B$2:$B$112,$A15)&gt;0,IFERROR(AVERAGEIF(Link_Project_Gap!$B$2:$B$112,$A15,Link_Project_Gap!$C$2:$C$112),0),IFERROR(AVERAGEIF(Link_Gap_Req!$A$2:$A$79,$A15,Link_Gap_Req!$C$2:$C$79),0))</f>
        <v>0.23333333333333331</v>
      </c>
      <c r="G15" t="str">
        <f>IF(COUNTIF(Link_Project_Gap!$B$2:$B$112,$A15)&gt;0,"من المشاريع",IF(COUNTIF(Link_Gap_Req!$A$2:$A$79,$A15)&gt;0,"من المتطلبات","لا يوجد ربط"))</f>
        <v>من المشاريع</v>
      </c>
      <c r="H15" s="2"/>
    </row>
    <row r="16" spans="1:8" ht="43.2" customHeight="1" x14ac:dyDescent="0.3">
      <c r="A16" s="2" t="s">
        <v>163</v>
      </c>
      <c r="B16" s="2" t="s">
        <v>541</v>
      </c>
      <c r="C16" s="2" t="s">
        <v>521</v>
      </c>
      <c r="D16" s="2" t="s">
        <v>542</v>
      </c>
      <c r="E16" s="2" t="s">
        <v>340</v>
      </c>
      <c r="F16" s="14">
        <f>IF(COUNTIF(Link_Project_Gap!$B$2:$B$112,$A16)&gt;0,IFERROR(AVERAGEIF(Link_Project_Gap!$B$2:$B$112,$A16,Link_Project_Gap!$C$2:$C$112),0),IFERROR(AVERAGEIF(Link_Gap_Req!$A$2:$A$79,$A16,Link_Gap_Req!$C$2:$C$79),0))</f>
        <v>0.375</v>
      </c>
      <c r="G16" t="str">
        <f>IF(COUNTIF(Link_Project_Gap!$B$2:$B$112,$A16)&gt;0,"من المشاريع",IF(COUNTIF(Link_Gap_Req!$A$2:$A$79,$A16)&gt;0,"من المتطلبات","لا يوجد ربط"))</f>
        <v>من المشاريع</v>
      </c>
      <c r="H16" s="2"/>
    </row>
    <row r="17" spans="1:8" ht="28.8" customHeight="1" x14ac:dyDescent="0.3">
      <c r="A17" s="2" t="s">
        <v>165</v>
      </c>
      <c r="B17" s="2" t="s">
        <v>543</v>
      </c>
      <c r="C17" s="2" t="s">
        <v>521</v>
      </c>
      <c r="D17" s="2" t="s">
        <v>544</v>
      </c>
      <c r="E17" s="2" t="s">
        <v>495</v>
      </c>
      <c r="F17" s="14">
        <f>IF(COUNTIF(Link_Project_Gap!$B$2:$B$112,$A17)&gt;0,IFERROR(AVERAGEIF(Link_Project_Gap!$B$2:$B$112,$A17,Link_Project_Gap!$C$2:$C$112),0),IFERROR(AVERAGEIF(Link_Gap_Req!$A$2:$A$79,$A17,Link_Gap_Req!$C$2:$C$79),0))</f>
        <v>0.44999999999999996</v>
      </c>
      <c r="G17" t="str">
        <f>IF(COUNTIF(Link_Project_Gap!$B$2:$B$112,$A17)&gt;0,"من المشاريع",IF(COUNTIF(Link_Gap_Req!$A$2:$A$79,$A17)&gt;0,"من المتطلبات","لا يوجد ربط"))</f>
        <v>من المشاريع</v>
      </c>
      <c r="H17" s="2"/>
    </row>
    <row r="18" spans="1:8" ht="57.6" customHeight="1" x14ac:dyDescent="0.3">
      <c r="A18" s="2" t="s">
        <v>167</v>
      </c>
      <c r="B18" s="2" t="s">
        <v>545</v>
      </c>
      <c r="C18" s="2" t="s">
        <v>521</v>
      </c>
      <c r="D18" s="2" t="s">
        <v>546</v>
      </c>
      <c r="E18" s="2" t="s">
        <v>652</v>
      </c>
      <c r="F18" s="14">
        <f>IF(COUNTIF(Link_Project_Gap!$B$2:$B$112,$A18)&gt;0,IFERROR(AVERAGEIF(Link_Project_Gap!$B$2:$B$112,$A18,Link_Project_Gap!$C$2:$C$112),0),IFERROR(AVERAGEIF(Link_Gap_Req!$A$2:$A$79,$A18,Link_Gap_Req!$C$2:$C$79),0))</f>
        <v>0.3</v>
      </c>
      <c r="G18" t="str">
        <f>IF(COUNTIF(Link_Project_Gap!$B$2:$B$112,$A18)&gt;0,"من المشاريع",IF(COUNTIF(Link_Gap_Req!$A$2:$A$79,$A18)&gt;0,"من المتطلبات","لا يوجد ربط"))</f>
        <v>من المشاريع</v>
      </c>
      <c r="H18" s="2"/>
    </row>
    <row r="19" spans="1:8" ht="57.6" customHeight="1" x14ac:dyDescent="0.3">
      <c r="A19" s="2" t="s">
        <v>169</v>
      </c>
      <c r="B19" s="2" t="s">
        <v>547</v>
      </c>
      <c r="C19" s="2" t="s">
        <v>521</v>
      </c>
      <c r="D19" s="2" t="s">
        <v>548</v>
      </c>
      <c r="E19" s="2" t="s">
        <v>653</v>
      </c>
      <c r="F19" s="14">
        <f>IF(COUNTIF(Link_Project_Gap!$B$2:$B$112,$A19)&gt;0,IFERROR(AVERAGEIF(Link_Project_Gap!$B$2:$B$112,$A19,Link_Project_Gap!$C$2:$C$112),0),IFERROR(AVERAGEIF(Link_Gap_Req!$A$2:$A$79,$A19,Link_Gap_Req!$C$2:$C$79),0))</f>
        <v>0.52500000000000002</v>
      </c>
      <c r="G19" t="str">
        <f>IF(COUNTIF(Link_Project_Gap!$B$2:$B$112,$A19)&gt;0,"من المشاريع",IF(COUNTIF(Link_Gap_Req!$A$2:$A$79,$A19)&gt;0,"من المتطلبات","لا يوجد ربط"))</f>
        <v>من المشاريع</v>
      </c>
      <c r="H19" s="2"/>
    </row>
    <row r="20" spans="1:8" ht="43.2" customHeight="1" x14ac:dyDescent="0.3">
      <c r="A20" s="2" t="s">
        <v>171</v>
      </c>
      <c r="B20" s="2" t="s">
        <v>549</v>
      </c>
      <c r="C20" s="2" t="s">
        <v>521</v>
      </c>
      <c r="D20" s="2" t="s">
        <v>419</v>
      </c>
      <c r="E20" s="2" t="s">
        <v>550</v>
      </c>
      <c r="F20" s="14">
        <f>IF(COUNTIF(Link_Project_Gap!$B$2:$B$112,$A20)&gt;0,IFERROR(AVERAGEIF(Link_Project_Gap!$B$2:$B$112,$A20,Link_Project_Gap!$C$2:$C$112),0),IFERROR(AVERAGEIF(Link_Gap_Req!$A$2:$A$79,$A20,Link_Gap_Req!$C$2:$C$79),0))</f>
        <v>0.375</v>
      </c>
      <c r="G20" t="str">
        <f>IF(COUNTIF(Link_Project_Gap!$B$2:$B$112,$A20)&gt;0,"من المشاريع",IF(COUNTIF(Link_Gap_Req!$A$2:$A$79,$A20)&gt;0,"من المتطلبات","لا يوجد ربط"))</f>
        <v>من المشاريع</v>
      </c>
      <c r="H20" s="2"/>
    </row>
    <row r="21" spans="1:8" ht="57.6" customHeight="1" x14ac:dyDescent="0.3">
      <c r="A21" s="2" t="s">
        <v>173</v>
      </c>
      <c r="B21" s="2" t="s">
        <v>551</v>
      </c>
      <c r="C21" s="2" t="s">
        <v>521</v>
      </c>
      <c r="D21" s="2" t="s">
        <v>552</v>
      </c>
      <c r="E21" s="2" t="s">
        <v>553</v>
      </c>
      <c r="F21" s="14">
        <f>IF(COUNTIF(Link_Project_Gap!$B$2:$B$112,$A21)&gt;0,IFERROR(AVERAGEIF(Link_Project_Gap!$B$2:$B$112,$A21,Link_Project_Gap!$C$2:$C$112),0),IFERROR(AVERAGEIF(Link_Gap_Req!$A$2:$A$79,$A21,Link_Gap_Req!$C$2:$C$79),0))</f>
        <v>0.15</v>
      </c>
      <c r="G21" t="str">
        <f>IF(COUNTIF(Link_Project_Gap!$B$2:$B$112,$A21)&gt;0,"من المشاريع",IF(COUNTIF(Link_Gap_Req!$A$2:$A$79,$A21)&gt;0,"من المتطلبات","لا يوجد ربط"))</f>
        <v>من المشاريع</v>
      </c>
      <c r="H21" s="2"/>
    </row>
    <row r="22" spans="1:8" x14ac:dyDescent="0.3">
      <c r="A22" s="2" t="s">
        <v>174</v>
      </c>
      <c r="B22" s="2" t="s">
        <v>554</v>
      </c>
      <c r="C22" s="2" t="s">
        <v>521</v>
      </c>
      <c r="D22" s="2" t="s">
        <v>461</v>
      </c>
      <c r="E22" s="2" t="s">
        <v>72</v>
      </c>
      <c r="F22" s="14">
        <f>IF(COUNTIF(Link_Project_Gap!$B$2:$B$112,$A22)&gt;0,IFERROR(AVERAGEIF(Link_Project_Gap!$B$2:$B$112,$A22,Link_Project_Gap!$C$2:$C$112),0),IFERROR(AVERAGEIF(Link_Gap_Req!$A$2:$A$79,$A22,Link_Gap_Req!$C$2:$C$79),0))</f>
        <v>0.45</v>
      </c>
      <c r="G22" t="str">
        <f>IF(COUNTIF(Link_Project_Gap!$B$2:$B$112,$A22)&gt;0,"من المشاريع",IF(COUNTIF(Link_Gap_Req!$A$2:$A$79,$A22)&gt;0,"من المتطلبات","لا يوجد ربط"))</f>
        <v>من المشاريع</v>
      </c>
      <c r="H22" s="2"/>
    </row>
    <row r="23" spans="1:8" ht="43.2" customHeight="1" x14ac:dyDescent="0.3">
      <c r="A23" s="2" t="s">
        <v>176</v>
      </c>
      <c r="B23" s="2" t="s">
        <v>555</v>
      </c>
      <c r="C23" s="2" t="s">
        <v>521</v>
      </c>
      <c r="D23" s="2" t="s">
        <v>556</v>
      </c>
      <c r="E23" s="2" t="s">
        <v>67</v>
      </c>
      <c r="F23" s="14">
        <f>IF(COUNTIF(Link_Project_Gap!$B$2:$B$112,$A23)&gt;0,IFERROR(AVERAGEIF(Link_Project_Gap!$B$2:$B$112,$A23,Link_Project_Gap!$C$2:$C$112),0),IFERROR(AVERAGEIF(Link_Gap_Req!$A$2:$A$79,$A23,Link_Gap_Req!$C$2:$C$79),0))</f>
        <v>0.75</v>
      </c>
      <c r="G23" t="str">
        <f>IF(COUNTIF(Link_Project_Gap!$B$2:$B$112,$A23)&gt;0,"من المشاريع",IF(COUNTIF(Link_Gap_Req!$A$2:$A$79,$A23)&gt;0,"من المتطلبات","لا يوجد ربط"))</f>
        <v>من المشاريع</v>
      </c>
      <c r="H23" s="2"/>
    </row>
    <row r="24" spans="1:8" ht="28.8" customHeight="1" x14ac:dyDescent="0.3">
      <c r="A24" s="2" t="s">
        <v>178</v>
      </c>
      <c r="B24" s="2" t="s">
        <v>557</v>
      </c>
      <c r="C24" s="2" t="s">
        <v>521</v>
      </c>
      <c r="D24" s="2" t="s">
        <v>558</v>
      </c>
      <c r="E24" s="2" t="s">
        <v>397</v>
      </c>
      <c r="F24" s="14">
        <f>IF(COUNTIF(Link_Project_Gap!$B$2:$B$112,$A24)&gt;0,IFERROR(AVERAGEIF(Link_Project_Gap!$B$2:$B$112,$A24,Link_Project_Gap!$C$2:$C$112),0),IFERROR(AVERAGEIF(Link_Gap_Req!$A$2:$A$79,$A24,Link_Gap_Req!$C$2:$C$79),0))</f>
        <v>0.1</v>
      </c>
      <c r="G24" t="str">
        <f>IF(COUNTIF(Link_Project_Gap!$B$2:$B$112,$A24)&gt;0,"من المشاريع",IF(COUNTIF(Link_Gap_Req!$A$2:$A$79,$A24)&gt;0,"من المتطلبات","لا يوجد ربط"))</f>
        <v>من المشاريع</v>
      </c>
      <c r="H24" s="2"/>
    </row>
    <row r="25" spans="1:8" x14ac:dyDescent="0.3">
      <c r="A25" s="2" t="s">
        <v>180</v>
      </c>
      <c r="B25" s="2" t="s">
        <v>559</v>
      </c>
      <c r="C25" s="2" t="s">
        <v>521</v>
      </c>
      <c r="D25" s="2" t="s">
        <v>485</v>
      </c>
      <c r="E25" s="2" t="s">
        <v>68</v>
      </c>
      <c r="F25" s="14">
        <f>IF(COUNTIF(Link_Project_Gap!$B$2:$B$112,$A25)&gt;0,IFERROR(AVERAGEIF(Link_Project_Gap!$B$2:$B$112,$A25,Link_Project_Gap!$C$2:$C$112),0),IFERROR(AVERAGEIF(Link_Gap_Req!$A$2:$A$79,$A25,Link_Gap_Req!$C$2:$C$79),0))</f>
        <v>0.2</v>
      </c>
      <c r="G25" t="str">
        <f>IF(COUNTIF(Link_Project_Gap!$B$2:$B$112,$A25)&gt;0,"من المشاريع",IF(COUNTIF(Link_Gap_Req!$A$2:$A$79,$A25)&gt;0,"من المتطلبات","لا يوجد ربط"))</f>
        <v>من المشاريع</v>
      </c>
      <c r="H25" s="2"/>
    </row>
    <row r="26" spans="1:8" ht="28.8" customHeight="1" x14ac:dyDescent="0.3">
      <c r="A26" s="2" t="s">
        <v>182</v>
      </c>
      <c r="B26" s="2" t="s">
        <v>560</v>
      </c>
      <c r="C26" s="2" t="s">
        <v>521</v>
      </c>
      <c r="D26" s="2" t="s">
        <v>490</v>
      </c>
      <c r="E26" s="2" t="s">
        <v>495</v>
      </c>
      <c r="F26" s="14">
        <f>IF(COUNTIF(Link_Project_Gap!$B$2:$B$112,$A26)&gt;0,IFERROR(AVERAGEIF(Link_Project_Gap!$B$2:$B$112,$A26,Link_Project_Gap!$C$2:$C$112),0),IFERROR(AVERAGEIF(Link_Gap_Req!$A$2:$A$79,$A26,Link_Gap_Req!$C$2:$C$79),0))</f>
        <v>0.44999999999999996</v>
      </c>
      <c r="G26" t="str">
        <f>IF(COUNTIF(Link_Project_Gap!$B$2:$B$112,$A26)&gt;0,"من المشاريع",IF(COUNTIF(Link_Gap_Req!$A$2:$A$79,$A26)&gt;0,"من المتطلبات","لا يوجد ربط"))</f>
        <v>من المشاريع</v>
      </c>
      <c r="H26" s="2"/>
    </row>
    <row r="27" spans="1:8" ht="43.2" customHeight="1" x14ac:dyDescent="0.3">
      <c r="A27" s="2" t="s">
        <v>184</v>
      </c>
      <c r="B27" s="2" t="s">
        <v>561</v>
      </c>
      <c r="C27" s="2" t="s">
        <v>521</v>
      </c>
      <c r="D27" s="2" t="s">
        <v>427</v>
      </c>
      <c r="E27" s="2" t="s">
        <v>67</v>
      </c>
      <c r="F27" s="14">
        <f>IF(COUNTIF(Link_Project_Gap!$B$2:$B$112,$A27)&gt;0,IFERROR(AVERAGEIF(Link_Project_Gap!$B$2:$B$112,$A27,Link_Project_Gap!$C$2:$C$112),0),IFERROR(AVERAGEIF(Link_Gap_Req!$A$2:$A$79,$A27,Link_Gap_Req!$C$2:$C$79),0))</f>
        <v>0.75</v>
      </c>
      <c r="G27" t="str">
        <f>IF(COUNTIF(Link_Project_Gap!$B$2:$B$112,$A27)&gt;0,"من المشاريع",IF(COUNTIF(Link_Gap_Req!$A$2:$A$79,$A27)&gt;0,"من المتطلبات","لا يوجد ربط"))</f>
        <v>من المشاريع</v>
      </c>
      <c r="H27" s="2"/>
    </row>
    <row r="28" spans="1:8" x14ac:dyDescent="0.3">
      <c r="A28" s="2" t="s">
        <v>186</v>
      </c>
      <c r="B28" s="2" t="s">
        <v>562</v>
      </c>
      <c r="C28" s="2" t="s">
        <v>521</v>
      </c>
      <c r="D28" s="2"/>
      <c r="E28" s="2"/>
      <c r="F28" s="14">
        <f>IF(COUNTIF(Link_Project_Gap!$B$2:$B$112,$A28)&gt;0,IFERROR(AVERAGEIF(Link_Project_Gap!$B$2:$B$112,$A28,Link_Project_Gap!$C$2:$C$112),0),IFERROR(AVERAGEIF(Link_Gap_Req!$A$2:$A$79,$A28,Link_Gap_Req!$C$2:$C$79),0))</f>
        <v>0</v>
      </c>
      <c r="G28" t="str">
        <f>IF(COUNTIF(Link_Project_Gap!$B$2:$B$112,$A28)&gt;0,"من المشاريع",IF(COUNTIF(Link_Gap_Req!$A$2:$A$79,$A28)&gt;0,"من المتطلبات","لا يوجد ربط"))</f>
        <v>لا يوجد ربط</v>
      </c>
      <c r="H28" s="2"/>
    </row>
    <row r="29" spans="1:8" ht="43.2" customHeight="1" x14ac:dyDescent="0.3">
      <c r="A29" s="2" t="s">
        <v>187</v>
      </c>
      <c r="B29" s="2" t="s">
        <v>563</v>
      </c>
      <c r="C29" s="2" t="s">
        <v>521</v>
      </c>
      <c r="D29" s="2" t="s">
        <v>564</v>
      </c>
      <c r="E29" s="2" t="s">
        <v>565</v>
      </c>
      <c r="F29" s="14">
        <f>IF(COUNTIF(Link_Project_Gap!$B$2:$B$112,$A29)&gt;0,IFERROR(AVERAGEIF(Link_Project_Gap!$B$2:$B$112,$A29,Link_Project_Gap!$C$2:$C$112),0),IFERROR(AVERAGEIF(Link_Gap_Req!$A$2:$A$79,$A29,Link_Gap_Req!$C$2:$C$79),0))</f>
        <v>0.6</v>
      </c>
      <c r="G29" t="str">
        <f>IF(COUNTIF(Link_Project_Gap!$B$2:$B$112,$A29)&gt;0,"من المشاريع",IF(COUNTIF(Link_Gap_Req!$A$2:$A$79,$A29)&gt;0,"من المتطلبات","لا يوجد ربط"))</f>
        <v>من المشاريع</v>
      </c>
      <c r="H29" s="2"/>
    </row>
    <row r="30" spans="1:8" ht="43.2" customHeight="1" x14ac:dyDescent="0.3">
      <c r="A30" s="2" t="s">
        <v>188</v>
      </c>
      <c r="B30" s="2" t="s">
        <v>566</v>
      </c>
      <c r="C30" s="2" t="s">
        <v>521</v>
      </c>
      <c r="D30" s="2" t="s">
        <v>452</v>
      </c>
      <c r="E30" s="2" t="s">
        <v>340</v>
      </c>
      <c r="F30" s="14">
        <f>IF(COUNTIF(Link_Project_Gap!$B$2:$B$112,$A30)&gt;0,IFERROR(AVERAGEIF(Link_Project_Gap!$B$2:$B$112,$A30,Link_Project_Gap!$C$2:$C$112),0),IFERROR(AVERAGEIF(Link_Gap_Req!$A$2:$A$79,$A30,Link_Gap_Req!$C$2:$C$79),0))</f>
        <v>0.375</v>
      </c>
      <c r="G30" t="str">
        <f>IF(COUNTIF(Link_Project_Gap!$B$2:$B$112,$A30)&gt;0,"من المشاريع",IF(COUNTIF(Link_Gap_Req!$A$2:$A$79,$A30)&gt;0,"من المتطلبات","لا يوجد ربط"))</f>
        <v>من المشاريع</v>
      </c>
      <c r="H30" s="2"/>
    </row>
    <row r="31" spans="1:8" x14ac:dyDescent="0.3">
      <c r="A31" s="2" t="s">
        <v>189</v>
      </c>
      <c r="B31" s="2" t="s">
        <v>567</v>
      </c>
      <c r="C31" s="2" t="s">
        <v>521</v>
      </c>
      <c r="D31" s="2"/>
      <c r="E31" s="2"/>
      <c r="F31" s="14">
        <f>IF(COUNTIF(Link_Project_Gap!$B$2:$B$112,$A31)&gt;0,IFERROR(AVERAGEIF(Link_Project_Gap!$B$2:$B$112,$A31,Link_Project_Gap!$C$2:$C$112),0),IFERROR(AVERAGEIF(Link_Gap_Req!$A$2:$A$79,$A31,Link_Gap_Req!$C$2:$C$79),0))</f>
        <v>0</v>
      </c>
      <c r="G31" t="str">
        <f>IF(COUNTIF(Link_Project_Gap!$B$2:$B$112,$A31)&gt;0,"من المشاريع",IF(COUNTIF(Link_Gap_Req!$A$2:$A$79,$A31)&gt;0,"من المتطلبات","لا يوجد ربط"))</f>
        <v>لا يوجد ربط</v>
      </c>
      <c r="H31" s="2"/>
    </row>
    <row r="32" spans="1:8" x14ac:dyDescent="0.3">
      <c r="A32" s="2" t="s">
        <v>190</v>
      </c>
      <c r="B32" s="2" t="s">
        <v>568</v>
      </c>
      <c r="C32" s="2" t="s">
        <v>521</v>
      </c>
      <c r="D32" s="2"/>
      <c r="E32" s="2"/>
      <c r="F32" s="14">
        <f>IF(COUNTIF(Link_Project_Gap!$B$2:$B$112,$A32)&gt;0,IFERROR(AVERAGEIF(Link_Project_Gap!$B$2:$B$112,$A32,Link_Project_Gap!$C$2:$C$112),0),IFERROR(AVERAGEIF(Link_Gap_Req!$A$2:$A$79,$A32,Link_Gap_Req!$C$2:$C$79),0))</f>
        <v>0</v>
      </c>
      <c r="G32" t="str">
        <f>IF(COUNTIF(Link_Project_Gap!$B$2:$B$112,$A32)&gt;0,"من المشاريع",IF(COUNTIF(Link_Gap_Req!$A$2:$A$79,$A32)&gt;0,"من المتطلبات","لا يوجد ربط"))</f>
        <v>لا يوجد ربط</v>
      </c>
      <c r="H32" s="2"/>
    </row>
    <row r="33" spans="1:8" x14ac:dyDescent="0.3">
      <c r="A33" s="2" t="s">
        <v>191</v>
      </c>
      <c r="B33" s="2" t="s">
        <v>569</v>
      </c>
      <c r="C33" s="2" t="s">
        <v>570</v>
      </c>
      <c r="D33" s="2"/>
      <c r="E33" s="2"/>
      <c r="F33" s="14">
        <f>IF(COUNTIF(Link_Project_Gap!$B$2:$B$112,$A33)&gt;0,IFERROR(AVERAGEIF(Link_Project_Gap!$B$2:$B$112,$A33,Link_Project_Gap!$C$2:$C$112),0),IFERROR(AVERAGEIF(Link_Gap_Req!$A$2:$A$79,$A33,Link_Gap_Req!$C$2:$C$79),0))</f>
        <v>0</v>
      </c>
      <c r="G33" t="str">
        <f>IF(COUNTIF(Link_Project_Gap!$B$2:$B$112,$A33)&gt;0,"من المشاريع",IF(COUNTIF(Link_Gap_Req!$A$2:$A$79,$A33)&gt;0,"من المتطلبات","لا يوجد ربط"))</f>
        <v>لا يوجد ربط</v>
      </c>
      <c r="H33" s="2"/>
    </row>
    <row r="34" spans="1:8" x14ac:dyDescent="0.3">
      <c r="A34" s="2" t="s">
        <v>193</v>
      </c>
      <c r="B34" s="2" t="s">
        <v>571</v>
      </c>
      <c r="C34" s="2" t="s">
        <v>570</v>
      </c>
      <c r="D34" s="2"/>
      <c r="E34" s="2"/>
      <c r="F34" s="14">
        <f>IF(COUNTIF(Link_Project_Gap!$B$2:$B$112,$A34)&gt;0,IFERROR(AVERAGEIF(Link_Project_Gap!$B$2:$B$112,$A34,Link_Project_Gap!$C$2:$C$112),0),IFERROR(AVERAGEIF(Link_Gap_Req!$A$2:$A$79,$A34,Link_Gap_Req!$C$2:$C$79),0))</f>
        <v>0</v>
      </c>
      <c r="G34" t="str">
        <f>IF(COUNTIF(Link_Project_Gap!$B$2:$B$112,$A34)&gt;0,"من المشاريع",IF(COUNTIF(Link_Gap_Req!$A$2:$A$79,$A34)&gt;0,"من المتطلبات","لا يوجد ربط"))</f>
        <v>لا يوجد ربط</v>
      </c>
      <c r="H34" s="2"/>
    </row>
    <row r="35" spans="1:8" x14ac:dyDescent="0.3">
      <c r="A35" s="2" t="s">
        <v>194</v>
      </c>
      <c r="B35" s="2" t="s">
        <v>572</v>
      </c>
      <c r="C35" s="2" t="s">
        <v>570</v>
      </c>
      <c r="D35" s="2"/>
      <c r="E35" s="2"/>
      <c r="F35" s="14">
        <f>IF(COUNTIF(Link_Project_Gap!$B$2:$B$112,$A35)&gt;0,IFERROR(AVERAGEIF(Link_Project_Gap!$B$2:$B$112,$A35,Link_Project_Gap!$C$2:$C$112),0),IFERROR(AVERAGEIF(Link_Gap_Req!$A$2:$A$79,$A35,Link_Gap_Req!$C$2:$C$79),0))</f>
        <v>0</v>
      </c>
      <c r="G35" t="str">
        <f>IF(COUNTIF(Link_Project_Gap!$B$2:$B$112,$A35)&gt;0,"من المشاريع",IF(COUNTIF(Link_Gap_Req!$A$2:$A$79,$A35)&gt;0,"من المتطلبات","لا يوجد ربط"))</f>
        <v>لا يوجد ربط</v>
      </c>
      <c r="H35" s="2"/>
    </row>
    <row r="36" spans="1:8" ht="28.8" customHeight="1" x14ac:dyDescent="0.3">
      <c r="A36" s="2" t="s">
        <v>195</v>
      </c>
      <c r="B36" s="2" t="s">
        <v>573</v>
      </c>
      <c r="C36" s="2" t="s">
        <v>570</v>
      </c>
      <c r="D36" s="2" t="s">
        <v>310</v>
      </c>
      <c r="E36" s="2" t="s">
        <v>78</v>
      </c>
      <c r="F36" s="14">
        <f>IF(COUNTIF(Link_Project_Gap!$B$2:$B$112,$A36)&gt;0,IFERROR(AVERAGEIF(Link_Project_Gap!$B$2:$B$112,$A36,Link_Project_Gap!$C$2:$C$112),0),IFERROR(AVERAGEIF(Link_Gap_Req!$A$2:$A$79,$A36,Link_Gap_Req!$C$2:$C$79),0))</f>
        <v>0.5</v>
      </c>
      <c r="G36" t="str">
        <f>IF(COUNTIF(Link_Project_Gap!$B$2:$B$112,$A36)&gt;0,"من المشاريع",IF(COUNTIF(Link_Gap_Req!$A$2:$A$79,$A36)&gt;0,"من المتطلبات","لا يوجد ربط"))</f>
        <v>من المشاريع</v>
      </c>
      <c r="H36" s="2"/>
    </row>
    <row r="37" spans="1:8" ht="28.8" customHeight="1" x14ac:dyDescent="0.3">
      <c r="A37" s="2" t="s">
        <v>196</v>
      </c>
      <c r="B37" s="2" t="s">
        <v>574</v>
      </c>
      <c r="C37" s="2" t="s">
        <v>570</v>
      </c>
      <c r="D37" s="2" t="s">
        <v>310</v>
      </c>
      <c r="E37" s="2" t="s">
        <v>78</v>
      </c>
      <c r="F37" s="14">
        <f>IF(COUNTIF(Link_Project_Gap!$B$2:$B$112,$A37)&gt;0,IFERROR(AVERAGEIF(Link_Project_Gap!$B$2:$B$112,$A37,Link_Project_Gap!$C$2:$C$112),0),IFERROR(AVERAGEIF(Link_Gap_Req!$A$2:$A$79,$A37,Link_Gap_Req!$C$2:$C$79),0))</f>
        <v>0.5</v>
      </c>
      <c r="G37" t="str">
        <f>IF(COUNTIF(Link_Project_Gap!$B$2:$B$112,$A37)&gt;0,"من المشاريع",IF(COUNTIF(Link_Gap_Req!$A$2:$A$79,$A37)&gt;0,"من المتطلبات","لا يوجد ربط"))</f>
        <v>من المشاريع</v>
      </c>
      <c r="H37" s="2"/>
    </row>
    <row r="38" spans="1:8" ht="28.8" customHeight="1" x14ac:dyDescent="0.3">
      <c r="A38" s="2" t="s">
        <v>198</v>
      </c>
      <c r="B38" s="2" t="s">
        <v>575</v>
      </c>
      <c r="C38" s="2" t="s">
        <v>570</v>
      </c>
      <c r="D38" s="2" t="s">
        <v>363</v>
      </c>
      <c r="E38" s="2" t="s">
        <v>76</v>
      </c>
      <c r="F38" s="14">
        <f>IF(COUNTIF(Link_Project_Gap!$B$2:$B$112,$A38)&gt;0,IFERROR(AVERAGEIF(Link_Project_Gap!$B$2:$B$112,$A38,Link_Project_Gap!$C$2:$C$112),0),IFERROR(AVERAGEIF(Link_Gap_Req!$A$2:$A$79,$A38,Link_Gap_Req!$C$2:$C$79),0))</f>
        <v>0.4</v>
      </c>
      <c r="G38" t="str">
        <f>IF(COUNTIF(Link_Project_Gap!$B$2:$B$112,$A38)&gt;0,"من المشاريع",IF(COUNTIF(Link_Gap_Req!$A$2:$A$79,$A38)&gt;0,"من المتطلبات","لا يوجد ربط"))</f>
        <v>من المشاريع</v>
      </c>
      <c r="H38" s="2"/>
    </row>
    <row r="39" spans="1:8" ht="28.8" customHeight="1" x14ac:dyDescent="0.3">
      <c r="A39" s="2" t="s">
        <v>16</v>
      </c>
      <c r="B39" s="2" t="s">
        <v>17</v>
      </c>
      <c r="C39" s="2" t="s">
        <v>570</v>
      </c>
      <c r="D39" s="2" t="s">
        <v>304</v>
      </c>
      <c r="E39" s="2" t="s">
        <v>77</v>
      </c>
      <c r="F39" s="14">
        <f>IF(COUNTIF(Link_Project_Gap!$B$2:$B$112,$A39)&gt;0,IFERROR(AVERAGEIF(Link_Project_Gap!$B$2:$B$112,$A39,Link_Project_Gap!$C$2:$C$112),0),IFERROR(AVERAGEIF(Link_Gap_Req!$A$2:$A$79,$A39,Link_Gap_Req!$C$2:$C$79),0))</f>
        <v>0</v>
      </c>
      <c r="G39" t="str">
        <f>IF(COUNTIF(Link_Project_Gap!$B$2:$B$112,$A39)&gt;0,"من المشاريع",IF(COUNTIF(Link_Gap_Req!$A$2:$A$79,$A39)&gt;0,"من المتطلبات","لا يوجد ربط"))</f>
        <v>من المشاريع</v>
      </c>
      <c r="H39" s="2"/>
    </row>
    <row r="40" spans="1:8" x14ac:dyDescent="0.3">
      <c r="A40" s="2" t="s">
        <v>201</v>
      </c>
      <c r="B40" s="2" t="s">
        <v>576</v>
      </c>
      <c r="C40" s="2" t="s">
        <v>570</v>
      </c>
      <c r="D40" s="2"/>
      <c r="E40" s="2"/>
      <c r="F40" s="14">
        <f>IF(COUNTIF(Link_Project_Gap!$B$2:$B$112,$A40)&gt;0,IFERROR(AVERAGEIF(Link_Project_Gap!$B$2:$B$112,$A40,Link_Project_Gap!$C$2:$C$112),0),IFERROR(AVERAGEIF(Link_Gap_Req!$A$2:$A$79,$A40,Link_Gap_Req!$C$2:$C$79),0))</f>
        <v>0</v>
      </c>
      <c r="G40" t="str">
        <f>IF(COUNTIF(Link_Project_Gap!$B$2:$B$112,$A40)&gt;0,"من المشاريع",IF(COUNTIF(Link_Gap_Req!$A$2:$A$79,$A40)&gt;0,"من المتطلبات","لا يوجد ربط"))</f>
        <v>لا يوجد ربط</v>
      </c>
      <c r="H40" s="2"/>
    </row>
    <row r="41" spans="1:8" ht="28.8" customHeight="1" x14ac:dyDescent="0.3">
      <c r="A41" s="2" t="s">
        <v>18</v>
      </c>
      <c r="B41" s="2" t="s">
        <v>19</v>
      </c>
      <c r="C41" s="2" t="s">
        <v>570</v>
      </c>
      <c r="D41" s="2" t="s">
        <v>40</v>
      </c>
      <c r="E41" s="2" t="s">
        <v>77</v>
      </c>
      <c r="F41" s="14">
        <f>IF(COUNTIF(Link_Project_Gap!$B$2:$B$112,$A41)&gt;0,IFERROR(AVERAGEIF(Link_Project_Gap!$B$2:$B$112,$A41,Link_Project_Gap!$C$2:$C$112),0),IFERROR(AVERAGEIF(Link_Gap_Req!$A$2:$A$79,$A41,Link_Gap_Req!$C$2:$C$79),0))</f>
        <v>0</v>
      </c>
      <c r="G41" t="str">
        <f>IF(COUNTIF(Link_Project_Gap!$B$2:$B$112,$A41)&gt;0,"من المشاريع",IF(COUNTIF(Link_Gap_Req!$A$2:$A$79,$A41)&gt;0,"من المتطلبات","لا يوجد ربط"))</f>
        <v>من المشاريع</v>
      </c>
      <c r="H41" s="2"/>
    </row>
    <row r="42" spans="1:8" ht="43.2" customHeight="1" x14ac:dyDescent="0.3">
      <c r="A42" s="2" t="s">
        <v>204</v>
      </c>
      <c r="B42" s="2" t="s">
        <v>577</v>
      </c>
      <c r="C42" s="2" t="s">
        <v>570</v>
      </c>
      <c r="D42" s="2" t="s">
        <v>378</v>
      </c>
      <c r="E42" s="2" t="s">
        <v>650</v>
      </c>
      <c r="F42" s="14">
        <f>IF(COUNTIF(Link_Project_Gap!$B$2:$B$112,$A42)&gt;0,IFERROR(AVERAGEIF(Link_Project_Gap!$B$2:$B$112,$A42,Link_Project_Gap!$C$2:$C$112),0),IFERROR(AVERAGEIF(Link_Gap_Req!$A$2:$A$79,$A42,Link_Gap_Req!$C$2:$C$79),0))</f>
        <v>0.42500000000000004</v>
      </c>
      <c r="G42" t="str">
        <f>IF(COUNTIF(Link_Project_Gap!$B$2:$B$112,$A42)&gt;0,"من المشاريع",IF(COUNTIF(Link_Gap_Req!$A$2:$A$79,$A42)&gt;0,"من المتطلبات","لا يوجد ربط"))</f>
        <v>من المشاريع</v>
      </c>
      <c r="H42" s="2"/>
    </row>
    <row r="43" spans="1:8" ht="43.2" customHeight="1" x14ac:dyDescent="0.3">
      <c r="A43" s="2" t="s">
        <v>206</v>
      </c>
      <c r="B43" s="2" t="s">
        <v>578</v>
      </c>
      <c r="C43" s="2" t="s">
        <v>570</v>
      </c>
      <c r="D43" s="2" t="s">
        <v>378</v>
      </c>
      <c r="E43" s="2" t="s">
        <v>650</v>
      </c>
      <c r="F43" s="14">
        <f>IF(COUNTIF(Link_Project_Gap!$B$2:$B$112,$A43)&gt;0,IFERROR(AVERAGEIF(Link_Project_Gap!$B$2:$B$112,$A43,Link_Project_Gap!$C$2:$C$112),0),IFERROR(AVERAGEIF(Link_Gap_Req!$A$2:$A$79,$A43,Link_Gap_Req!$C$2:$C$79),0))</f>
        <v>0.42500000000000004</v>
      </c>
      <c r="G43" t="str">
        <f>IF(COUNTIF(Link_Project_Gap!$B$2:$B$112,$A43)&gt;0,"من المشاريع",IF(COUNTIF(Link_Gap_Req!$A$2:$A$79,$A43)&gt;0,"من المتطلبات","لا يوجد ربط"))</f>
        <v>من المشاريع</v>
      </c>
      <c r="H43" s="2"/>
    </row>
    <row r="44" spans="1:8" ht="28.8" customHeight="1" x14ac:dyDescent="0.3">
      <c r="A44" s="2" t="s">
        <v>207</v>
      </c>
      <c r="B44" s="2" t="s">
        <v>579</v>
      </c>
      <c r="C44" s="2" t="s">
        <v>570</v>
      </c>
      <c r="D44" s="2" t="s">
        <v>293</v>
      </c>
      <c r="E44" s="2" t="s">
        <v>80</v>
      </c>
      <c r="F44" s="14">
        <f>IF(COUNTIF(Link_Project_Gap!$B$2:$B$112,$A44)&gt;0,IFERROR(AVERAGEIF(Link_Project_Gap!$B$2:$B$112,$A44,Link_Project_Gap!$C$2:$C$112),0),IFERROR(AVERAGEIF(Link_Gap_Req!$A$2:$A$79,$A44,Link_Gap_Req!$C$2:$C$79),0))</f>
        <v>0.45</v>
      </c>
      <c r="G44" t="str">
        <f>IF(COUNTIF(Link_Project_Gap!$B$2:$B$112,$A44)&gt;0,"من المشاريع",IF(COUNTIF(Link_Gap_Req!$A$2:$A$79,$A44)&gt;0,"من المتطلبات","لا يوجد ربط"))</f>
        <v>من المشاريع</v>
      </c>
      <c r="H44" s="2"/>
    </row>
    <row r="45" spans="1:8" ht="28.8" customHeight="1" x14ac:dyDescent="0.3">
      <c r="A45" s="2" t="s">
        <v>209</v>
      </c>
      <c r="B45" s="2" t="s">
        <v>580</v>
      </c>
      <c r="C45" s="2" t="s">
        <v>570</v>
      </c>
      <c r="D45" s="2" t="s">
        <v>401</v>
      </c>
      <c r="E45" s="2" t="s">
        <v>581</v>
      </c>
      <c r="F45" s="14">
        <f>IF(COUNTIF(Link_Project_Gap!$B$2:$B$112,$A45)&gt;0,IFERROR(AVERAGEIF(Link_Project_Gap!$B$2:$B$112,$A45,Link_Project_Gap!$C$2:$C$112),0),IFERROR(AVERAGEIF(Link_Gap_Req!$A$2:$A$79,$A45,Link_Gap_Req!$C$2:$C$79),0))</f>
        <v>0.2</v>
      </c>
      <c r="G45" t="str">
        <f>IF(COUNTIF(Link_Project_Gap!$B$2:$B$112,$A45)&gt;0,"من المشاريع",IF(COUNTIF(Link_Gap_Req!$A$2:$A$79,$A45)&gt;0,"من المتطلبات","لا يوجد ربط"))</f>
        <v>من المشاريع</v>
      </c>
      <c r="H45" s="2"/>
    </row>
    <row r="46" spans="1:8" ht="43.2" customHeight="1" x14ac:dyDescent="0.3">
      <c r="A46" s="2" t="s">
        <v>211</v>
      </c>
      <c r="B46" s="2" t="s">
        <v>582</v>
      </c>
      <c r="C46" s="2" t="s">
        <v>570</v>
      </c>
      <c r="D46" s="2" t="s">
        <v>56</v>
      </c>
      <c r="E46" s="2" t="s">
        <v>426</v>
      </c>
      <c r="F46" s="14">
        <f>IF(COUNTIF(Link_Project_Gap!$B$2:$B$112,$A46)&gt;0,IFERROR(AVERAGEIF(Link_Project_Gap!$B$2:$B$112,$A46,Link_Project_Gap!$C$2:$C$112),0),IFERROR(AVERAGEIF(Link_Gap_Req!$A$2:$A$79,$A46,Link_Gap_Req!$C$2:$C$79),0))</f>
        <v>0.125</v>
      </c>
      <c r="G46" t="str">
        <f>IF(COUNTIF(Link_Project_Gap!$B$2:$B$112,$A46)&gt;0,"من المشاريع",IF(COUNTIF(Link_Gap_Req!$A$2:$A$79,$A46)&gt;0,"من المتطلبات","لا يوجد ربط"))</f>
        <v>من المشاريع</v>
      </c>
      <c r="H46" s="2"/>
    </row>
    <row r="47" spans="1:8" ht="28.8" customHeight="1" x14ac:dyDescent="0.3">
      <c r="A47" s="2" t="s">
        <v>20</v>
      </c>
      <c r="B47" s="2" t="s">
        <v>21</v>
      </c>
      <c r="C47" s="2" t="s">
        <v>570</v>
      </c>
      <c r="D47" s="2" t="s">
        <v>50</v>
      </c>
      <c r="E47" s="2" t="s">
        <v>77</v>
      </c>
      <c r="F47" s="14">
        <f>IF(COUNTIF(Link_Project_Gap!$B$2:$B$112,$A47)&gt;0,IFERROR(AVERAGEIF(Link_Project_Gap!$B$2:$B$112,$A47,Link_Project_Gap!$C$2:$C$112),0),IFERROR(AVERAGEIF(Link_Gap_Req!$A$2:$A$79,$A47,Link_Gap_Req!$C$2:$C$79),0))</f>
        <v>0</v>
      </c>
      <c r="G47" t="str">
        <f>IF(COUNTIF(Link_Project_Gap!$B$2:$B$112,$A47)&gt;0,"من المشاريع",IF(COUNTIF(Link_Gap_Req!$A$2:$A$79,$A47)&gt;0,"من المتطلبات","لا يوجد ربط"))</f>
        <v>من المشاريع</v>
      </c>
      <c r="H47" s="2"/>
    </row>
    <row r="48" spans="1:8" ht="28.8" customHeight="1" x14ac:dyDescent="0.3">
      <c r="A48" s="2" t="s">
        <v>213</v>
      </c>
      <c r="B48" s="2" t="s">
        <v>583</v>
      </c>
      <c r="C48" s="2" t="s">
        <v>570</v>
      </c>
      <c r="D48" s="2" t="s">
        <v>374</v>
      </c>
      <c r="E48" s="2" t="s">
        <v>76</v>
      </c>
      <c r="F48" s="14">
        <f>IF(COUNTIF(Link_Project_Gap!$B$2:$B$112,$A48)&gt;0,IFERROR(AVERAGEIF(Link_Project_Gap!$B$2:$B$112,$A48,Link_Project_Gap!$C$2:$C$112),0),IFERROR(AVERAGEIF(Link_Gap_Req!$A$2:$A$79,$A48,Link_Gap_Req!$C$2:$C$79),0))</f>
        <v>0.4</v>
      </c>
      <c r="G48" t="str">
        <f>IF(COUNTIF(Link_Project_Gap!$B$2:$B$112,$A48)&gt;0,"من المشاريع",IF(COUNTIF(Link_Gap_Req!$A$2:$A$79,$A48)&gt;0,"من المتطلبات","لا يوجد ربط"))</f>
        <v>من المشاريع</v>
      </c>
      <c r="H48" s="2"/>
    </row>
    <row r="49" spans="1:8" x14ac:dyDescent="0.3">
      <c r="A49" s="2" t="s">
        <v>214</v>
      </c>
      <c r="B49" s="2" t="s">
        <v>584</v>
      </c>
      <c r="C49" s="2" t="s">
        <v>570</v>
      </c>
      <c r="D49" s="2"/>
      <c r="E49" s="2"/>
      <c r="F49" s="14">
        <f>IF(COUNTIF(Link_Project_Gap!$B$2:$B$112,$A49)&gt;0,IFERROR(AVERAGEIF(Link_Project_Gap!$B$2:$B$112,$A49,Link_Project_Gap!$C$2:$C$112),0),IFERROR(AVERAGEIF(Link_Gap_Req!$A$2:$A$79,$A49,Link_Gap_Req!$C$2:$C$79),0))</f>
        <v>0</v>
      </c>
      <c r="G49" t="str">
        <f>IF(COUNTIF(Link_Project_Gap!$B$2:$B$112,$A49)&gt;0,"من المشاريع",IF(COUNTIF(Link_Gap_Req!$A$2:$A$79,$A49)&gt;0,"من المتطلبات","لا يوجد ربط"))</f>
        <v>لا يوجد ربط</v>
      </c>
      <c r="H49" s="2"/>
    </row>
    <row r="50" spans="1:8" x14ac:dyDescent="0.3">
      <c r="A50" s="2" t="s">
        <v>216</v>
      </c>
      <c r="B50" s="2" t="s">
        <v>585</v>
      </c>
      <c r="C50" s="2" t="s">
        <v>570</v>
      </c>
      <c r="D50" s="2"/>
      <c r="E50" s="2"/>
      <c r="F50" s="14">
        <f>IF(COUNTIF(Link_Project_Gap!$B$2:$B$112,$A50)&gt;0,IFERROR(AVERAGEIF(Link_Project_Gap!$B$2:$B$112,$A50,Link_Project_Gap!$C$2:$C$112),0),IFERROR(AVERAGEIF(Link_Gap_Req!$A$2:$A$79,$A50,Link_Gap_Req!$C$2:$C$79),0))</f>
        <v>0</v>
      </c>
      <c r="G50" t="str">
        <f>IF(COUNTIF(Link_Project_Gap!$B$2:$B$112,$A50)&gt;0,"من المشاريع",IF(COUNTIF(Link_Gap_Req!$A$2:$A$79,$A50)&gt;0,"من المتطلبات","لا يوجد ربط"))</f>
        <v>لا يوجد ربط</v>
      </c>
      <c r="H50" s="2"/>
    </row>
    <row r="51" spans="1:8" x14ac:dyDescent="0.3">
      <c r="A51" s="2" t="s">
        <v>218</v>
      </c>
      <c r="B51" s="2" t="s">
        <v>586</v>
      </c>
      <c r="C51" s="2" t="s">
        <v>570</v>
      </c>
      <c r="D51" s="2"/>
      <c r="E51" s="2"/>
      <c r="F51" s="14">
        <f>IF(COUNTIF(Link_Project_Gap!$B$2:$B$112,$A51)&gt;0,IFERROR(AVERAGEIF(Link_Project_Gap!$B$2:$B$112,$A51,Link_Project_Gap!$C$2:$C$112),0),IFERROR(AVERAGEIF(Link_Gap_Req!$A$2:$A$79,$A51,Link_Gap_Req!$C$2:$C$79),0))</f>
        <v>0</v>
      </c>
      <c r="G51" t="str">
        <f>IF(COUNTIF(Link_Project_Gap!$B$2:$B$112,$A51)&gt;0,"من المشاريع",IF(COUNTIF(Link_Gap_Req!$A$2:$A$79,$A51)&gt;0,"من المتطلبات","لا يوجد ربط"))</f>
        <v>لا يوجد ربط</v>
      </c>
      <c r="H51" s="2"/>
    </row>
    <row r="52" spans="1:8" x14ac:dyDescent="0.3">
      <c r="A52" s="2" t="s">
        <v>220</v>
      </c>
      <c r="B52" s="2" t="s">
        <v>587</v>
      </c>
      <c r="C52" s="2" t="s">
        <v>570</v>
      </c>
      <c r="D52" s="2"/>
      <c r="E52" s="2"/>
      <c r="F52" s="14">
        <f>IF(COUNTIF(Link_Project_Gap!$B$2:$B$112,$A52)&gt;0,IFERROR(AVERAGEIF(Link_Project_Gap!$B$2:$B$112,$A52,Link_Project_Gap!$C$2:$C$112),0),IFERROR(AVERAGEIF(Link_Gap_Req!$A$2:$A$79,$A52,Link_Gap_Req!$C$2:$C$79),0))</f>
        <v>0</v>
      </c>
      <c r="G52" t="str">
        <f>IF(COUNTIF(Link_Project_Gap!$B$2:$B$112,$A52)&gt;0,"من المشاريع",IF(COUNTIF(Link_Gap_Req!$A$2:$A$79,$A52)&gt;0,"من المتطلبات","لا يوجد ربط"))</f>
        <v>لا يوجد ربط</v>
      </c>
      <c r="H52" s="2"/>
    </row>
    <row r="53" spans="1:8" x14ac:dyDescent="0.3">
      <c r="A53" s="2" t="s">
        <v>221</v>
      </c>
      <c r="B53" s="2" t="s">
        <v>588</v>
      </c>
      <c r="C53" s="2" t="s">
        <v>570</v>
      </c>
      <c r="D53" s="2"/>
      <c r="E53" s="2"/>
      <c r="F53" s="14">
        <f>IF(COUNTIF(Link_Project_Gap!$B$2:$B$112,$A53)&gt;0,IFERROR(AVERAGEIF(Link_Project_Gap!$B$2:$B$112,$A53,Link_Project_Gap!$C$2:$C$112),0),IFERROR(AVERAGEIF(Link_Gap_Req!$A$2:$A$79,$A53,Link_Gap_Req!$C$2:$C$79),0))</f>
        <v>0</v>
      </c>
      <c r="G53" t="str">
        <f>IF(COUNTIF(Link_Project_Gap!$B$2:$B$112,$A53)&gt;0,"من المشاريع",IF(COUNTIF(Link_Gap_Req!$A$2:$A$79,$A53)&gt;0,"من المتطلبات","لا يوجد ربط"))</f>
        <v>لا يوجد ربط</v>
      </c>
      <c r="H53" s="2"/>
    </row>
    <row r="54" spans="1:8" x14ac:dyDescent="0.3">
      <c r="A54" s="2" t="s">
        <v>223</v>
      </c>
      <c r="B54" s="2" t="s">
        <v>589</v>
      </c>
      <c r="C54" s="2" t="s">
        <v>570</v>
      </c>
      <c r="D54" s="2"/>
      <c r="E54" s="2"/>
      <c r="F54" s="14">
        <f>IF(COUNTIF(Link_Project_Gap!$B$2:$B$112,$A54)&gt;0,IFERROR(AVERAGEIF(Link_Project_Gap!$B$2:$B$112,$A54,Link_Project_Gap!$C$2:$C$112),0),IFERROR(AVERAGEIF(Link_Gap_Req!$A$2:$A$79,$A54,Link_Gap_Req!$C$2:$C$79),0))</f>
        <v>0</v>
      </c>
      <c r="G54" t="str">
        <f>IF(COUNTIF(Link_Project_Gap!$B$2:$B$112,$A54)&gt;0,"من المشاريع",IF(COUNTIF(Link_Gap_Req!$A$2:$A$79,$A54)&gt;0,"من المتطلبات","لا يوجد ربط"))</f>
        <v>لا يوجد ربط</v>
      </c>
      <c r="H54" s="2"/>
    </row>
    <row r="55" spans="1:8" x14ac:dyDescent="0.3">
      <c r="A55" s="2" t="s">
        <v>225</v>
      </c>
      <c r="B55" s="2" t="s">
        <v>590</v>
      </c>
      <c r="C55" s="2" t="s">
        <v>570</v>
      </c>
      <c r="D55" s="2"/>
      <c r="E55" s="2"/>
      <c r="F55" s="14">
        <f>IF(COUNTIF(Link_Project_Gap!$B$2:$B$112,$A55)&gt;0,IFERROR(AVERAGEIF(Link_Project_Gap!$B$2:$B$112,$A55,Link_Project_Gap!$C$2:$C$112),0),IFERROR(AVERAGEIF(Link_Gap_Req!$A$2:$A$79,$A55,Link_Gap_Req!$C$2:$C$79),0))</f>
        <v>0</v>
      </c>
      <c r="G55" t="str">
        <f>IF(COUNTIF(Link_Project_Gap!$B$2:$B$112,$A55)&gt;0,"من المشاريع",IF(COUNTIF(Link_Gap_Req!$A$2:$A$79,$A55)&gt;0,"من المتطلبات","لا يوجد ربط"))</f>
        <v>لا يوجد ربط</v>
      </c>
      <c r="H55" s="2"/>
    </row>
    <row r="56" spans="1:8" ht="28.8" customHeight="1" x14ac:dyDescent="0.3">
      <c r="A56" s="2" t="s">
        <v>226</v>
      </c>
      <c r="B56" s="2" t="s">
        <v>591</v>
      </c>
      <c r="C56" s="2" t="s">
        <v>570</v>
      </c>
      <c r="D56" s="2"/>
      <c r="E56" s="2"/>
      <c r="F56" s="14">
        <f>IF(COUNTIF(Link_Project_Gap!$B$2:$B$112,$A56)&gt;0,IFERROR(AVERAGEIF(Link_Project_Gap!$B$2:$B$112,$A56,Link_Project_Gap!$C$2:$C$112),0),IFERROR(AVERAGEIF(Link_Gap_Req!$A$2:$A$79,$A56,Link_Gap_Req!$C$2:$C$79),0))</f>
        <v>0</v>
      </c>
      <c r="G56" t="str">
        <f>IF(COUNTIF(Link_Project_Gap!$B$2:$B$112,$A56)&gt;0,"من المشاريع",IF(COUNTIF(Link_Gap_Req!$A$2:$A$79,$A56)&gt;0,"من المتطلبات","لا يوجد ربط"))</f>
        <v>لا يوجد ربط</v>
      </c>
      <c r="H56" s="2"/>
    </row>
    <row r="57" spans="1:8" x14ac:dyDescent="0.3">
      <c r="A57" s="2" t="s">
        <v>228</v>
      </c>
      <c r="B57" s="2" t="s">
        <v>592</v>
      </c>
      <c r="C57" s="2" t="s">
        <v>570</v>
      </c>
      <c r="D57" s="2"/>
      <c r="E57" s="2"/>
      <c r="F57" s="14">
        <f>IF(COUNTIF(Link_Project_Gap!$B$2:$B$112,$A57)&gt;0,IFERROR(AVERAGEIF(Link_Project_Gap!$B$2:$B$112,$A57,Link_Project_Gap!$C$2:$C$112),0),IFERROR(AVERAGEIF(Link_Gap_Req!$A$2:$A$79,$A57,Link_Gap_Req!$C$2:$C$79),0))</f>
        <v>0</v>
      </c>
      <c r="G57" t="str">
        <f>IF(COUNTIF(Link_Project_Gap!$B$2:$B$112,$A57)&gt;0,"من المشاريع",IF(COUNTIF(Link_Gap_Req!$A$2:$A$79,$A57)&gt;0,"من المتطلبات","لا يوجد ربط"))</f>
        <v>لا يوجد ربط</v>
      </c>
      <c r="H57" s="2"/>
    </row>
    <row r="58" spans="1:8" x14ac:dyDescent="0.3">
      <c r="A58" s="2" t="s">
        <v>230</v>
      </c>
      <c r="B58" s="2" t="s">
        <v>593</v>
      </c>
      <c r="C58" s="2" t="s">
        <v>570</v>
      </c>
      <c r="D58" s="2"/>
      <c r="E58" s="2"/>
      <c r="F58" s="14">
        <f>IF(COUNTIF(Link_Project_Gap!$B$2:$B$112,$A58)&gt;0,IFERROR(AVERAGEIF(Link_Project_Gap!$B$2:$B$112,$A58,Link_Project_Gap!$C$2:$C$112),0),IFERROR(AVERAGEIF(Link_Gap_Req!$A$2:$A$79,$A58,Link_Gap_Req!$C$2:$C$79),0))</f>
        <v>0</v>
      </c>
      <c r="G58" t="str">
        <f>IF(COUNTIF(Link_Project_Gap!$B$2:$B$112,$A58)&gt;0,"من المشاريع",IF(COUNTIF(Link_Gap_Req!$A$2:$A$79,$A58)&gt;0,"من المتطلبات","لا يوجد ربط"))</f>
        <v>لا يوجد ربط</v>
      </c>
      <c r="H58" s="2"/>
    </row>
    <row r="59" spans="1:8" x14ac:dyDescent="0.3">
      <c r="A59" s="2" t="s">
        <v>232</v>
      </c>
      <c r="B59" s="2" t="s">
        <v>594</v>
      </c>
      <c r="C59" s="2" t="s">
        <v>570</v>
      </c>
      <c r="D59" s="2"/>
      <c r="E59" s="2"/>
      <c r="F59" s="14">
        <f>IF(COUNTIF(Link_Project_Gap!$B$2:$B$112,$A59)&gt;0,IFERROR(AVERAGEIF(Link_Project_Gap!$B$2:$B$112,$A59,Link_Project_Gap!$C$2:$C$112),0),IFERROR(AVERAGEIF(Link_Gap_Req!$A$2:$A$79,$A59,Link_Gap_Req!$C$2:$C$79),0))</f>
        <v>0</v>
      </c>
      <c r="G59" t="str">
        <f>IF(COUNTIF(Link_Project_Gap!$B$2:$B$112,$A59)&gt;0,"من المشاريع",IF(COUNTIF(Link_Gap_Req!$A$2:$A$79,$A59)&gt;0,"من المتطلبات","لا يوجد ربط"))</f>
        <v>لا يوجد ربط</v>
      </c>
      <c r="H59" s="2"/>
    </row>
    <row r="60" spans="1:8" ht="28.8" customHeight="1" x14ac:dyDescent="0.3">
      <c r="A60" s="2" t="s">
        <v>234</v>
      </c>
      <c r="B60" s="2" t="s">
        <v>595</v>
      </c>
      <c r="C60" s="2" t="s">
        <v>570</v>
      </c>
      <c r="D60" s="2" t="s">
        <v>374</v>
      </c>
      <c r="E60" s="2" t="s">
        <v>76</v>
      </c>
      <c r="F60" s="14">
        <f>IF(COUNTIF(Link_Project_Gap!$B$2:$B$112,$A60)&gt;0,IFERROR(AVERAGEIF(Link_Project_Gap!$B$2:$B$112,$A60,Link_Project_Gap!$C$2:$C$112),0),IFERROR(AVERAGEIF(Link_Gap_Req!$A$2:$A$79,$A60,Link_Gap_Req!$C$2:$C$79),0))</f>
        <v>0.4</v>
      </c>
      <c r="G60" t="str">
        <f>IF(COUNTIF(Link_Project_Gap!$B$2:$B$112,$A60)&gt;0,"من المشاريع",IF(COUNTIF(Link_Gap_Req!$A$2:$A$79,$A60)&gt;0,"من المتطلبات","لا يوجد ربط"))</f>
        <v>من المشاريع</v>
      </c>
      <c r="H60" s="2"/>
    </row>
    <row r="61" spans="1:8" x14ac:dyDescent="0.3">
      <c r="A61" s="2" t="s">
        <v>236</v>
      </c>
      <c r="B61" s="2" t="s">
        <v>596</v>
      </c>
      <c r="C61" s="2" t="s">
        <v>570</v>
      </c>
      <c r="D61" s="2"/>
      <c r="E61" s="2"/>
      <c r="F61" s="14">
        <f>IF(COUNTIF(Link_Project_Gap!$B$2:$B$112,$A61)&gt;0,IFERROR(AVERAGEIF(Link_Project_Gap!$B$2:$B$112,$A61,Link_Project_Gap!$C$2:$C$112),0),IFERROR(AVERAGEIF(Link_Gap_Req!$A$2:$A$79,$A61,Link_Gap_Req!$C$2:$C$79),0))</f>
        <v>0</v>
      </c>
      <c r="G61" t="str">
        <f>IF(COUNTIF(Link_Project_Gap!$B$2:$B$112,$A61)&gt;0,"من المشاريع",IF(COUNTIF(Link_Gap_Req!$A$2:$A$79,$A61)&gt;0,"من المتطلبات","لا يوجد ربط"))</f>
        <v>لا يوجد ربط</v>
      </c>
      <c r="H61" s="2"/>
    </row>
    <row r="62" spans="1:8" x14ac:dyDescent="0.3">
      <c r="A62" s="2" t="s">
        <v>238</v>
      </c>
      <c r="B62" s="2" t="s">
        <v>597</v>
      </c>
      <c r="C62" s="2" t="s">
        <v>570</v>
      </c>
      <c r="D62" s="2"/>
      <c r="E62" s="2"/>
      <c r="F62" s="14">
        <f>IF(COUNTIF(Link_Project_Gap!$B$2:$B$112,$A62)&gt;0,IFERROR(AVERAGEIF(Link_Project_Gap!$B$2:$B$112,$A62,Link_Project_Gap!$C$2:$C$112),0),IFERROR(AVERAGEIF(Link_Gap_Req!$A$2:$A$79,$A62,Link_Gap_Req!$C$2:$C$79),0))</f>
        <v>0</v>
      </c>
      <c r="G62" t="str">
        <f>IF(COUNTIF(Link_Project_Gap!$B$2:$B$112,$A62)&gt;0,"من المشاريع",IF(COUNTIF(Link_Gap_Req!$A$2:$A$79,$A62)&gt;0,"من المتطلبات","لا يوجد ربط"))</f>
        <v>لا يوجد ربط</v>
      </c>
      <c r="H62" s="2"/>
    </row>
    <row r="63" spans="1:8" ht="43.2" customHeight="1" x14ac:dyDescent="0.3">
      <c r="A63" s="2" t="s">
        <v>240</v>
      </c>
      <c r="B63" s="2" t="s">
        <v>598</v>
      </c>
      <c r="C63" s="2" t="s">
        <v>570</v>
      </c>
      <c r="D63" s="2" t="s">
        <v>378</v>
      </c>
      <c r="E63" s="2" t="s">
        <v>650</v>
      </c>
      <c r="F63" s="14">
        <f>IF(COUNTIF(Link_Project_Gap!$B$2:$B$112,$A63)&gt;0,IFERROR(AVERAGEIF(Link_Project_Gap!$B$2:$B$112,$A63,Link_Project_Gap!$C$2:$C$112),0),IFERROR(AVERAGEIF(Link_Gap_Req!$A$2:$A$79,$A63,Link_Gap_Req!$C$2:$C$79),0))</f>
        <v>0.42500000000000004</v>
      </c>
      <c r="G63" t="str">
        <f>IF(COUNTIF(Link_Project_Gap!$B$2:$B$112,$A63)&gt;0,"من المشاريع",IF(COUNTIF(Link_Gap_Req!$A$2:$A$79,$A63)&gt;0,"من المتطلبات","لا يوجد ربط"))</f>
        <v>من المشاريع</v>
      </c>
      <c r="H63" s="2"/>
    </row>
    <row r="64" spans="1:8" ht="28.8" customHeight="1" x14ac:dyDescent="0.3">
      <c r="A64" s="2" t="s">
        <v>14</v>
      </c>
      <c r="B64" s="2" t="s">
        <v>15</v>
      </c>
      <c r="C64" s="2" t="s">
        <v>599</v>
      </c>
      <c r="D64" s="2" t="s">
        <v>46</v>
      </c>
      <c r="E64" s="2" t="s">
        <v>239</v>
      </c>
      <c r="F64" s="14">
        <f>IF(COUNTIF(Link_Project_Gap!$B$2:$B$112,$A64)&gt;0,IFERROR(AVERAGEIF(Link_Project_Gap!$B$2:$B$112,$A64,Link_Project_Gap!$C$2:$C$112),0),IFERROR(AVERAGEIF(Link_Gap_Req!$A$2:$A$79,$A64,Link_Gap_Req!$C$2:$C$79),0))</f>
        <v>0</v>
      </c>
      <c r="G64" t="str">
        <f>IF(COUNTIF(Link_Project_Gap!$B$2:$B$112,$A64)&gt;0,"من المشاريع",IF(COUNTIF(Link_Gap_Req!$A$2:$A$79,$A64)&gt;0,"من المتطلبات","لا يوجد ربط"))</f>
        <v>من المشاريع</v>
      </c>
      <c r="H64" s="2"/>
    </row>
    <row r="65" spans="1:8" ht="28.8" customHeight="1" x14ac:dyDescent="0.3">
      <c r="A65" s="2" t="s">
        <v>24</v>
      </c>
      <c r="B65" s="2" t="s">
        <v>25</v>
      </c>
      <c r="C65" s="2" t="s">
        <v>599</v>
      </c>
      <c r="D65" s="2"/>
      <c r="E65" s="2"/>
      <c r="F65" s="14">
        <f>IF(COUNTIF(Link_Project_Gap!$B$2:$B$112,$A65)&gt;0,IFERROR(AVERAGEIF(Link_Project_Gap!$B$2:$B$112,$A65,Link_Project_Gap!$C$2:$C$112),0),IFERROR(AVERAGEIF(Link_Gap_Req!$A$2:$A$79,$A65,Link_Gap_Req!$C$2:$C$79),0))</f>
        <v>0</v>
      </c>
      <c r="G65" t="str">
        <f>IF(COUNTIF(Link_Project_Gap!$B$2:$B$112,$A65)&gt;0,"من المشاريع",IF(COUNTIF(Link_Gap_Req!$A$2:$A$79,$A65)&gt;0,"من المتطلبات","لا يوجد ربط"))</f>
        <v>لا يوجد ربط</v>
      </c>
      <c r="H65" s="2"/>
    </row>
    <row r="66" spans="1:8" ht="28.8" customHeight="1" x14ac:dyDescent="0.3">
      <c r="A66" s="2" t="s">
        <v>26</v>
      </c>
      <c r="B66" s="2" t="s">
        <v>27</v>
      </c>
      <c r="C66" s="2" t="s">
        <v>599</v>
      </c>
      <c r="D66" s="2"/>
      <c r="E66" s="2"/>
      <c r="F66" s="14">
        <f>IF(COUNTIF(Link_Project_Gap!$B$2:$B$112,$A66)&gt;0,IFERROR(AVERAGEIF(Link_Project_Gap!$B$2:$B$112,$A66,Link_Project_Gap!$C$2:$C$112),0),IFERROR(AVERAGEIF(Link_Gap_Req!$A$2:$A$79,$A66,Link_Gap_Req!$C$2:$C$79),0))</f>
        <v>0</v>
      </c>
      <c r="G66" t="str">
        <f>IF(COUNTIF(Link_Project_Gap!$B$2:$B$112,$A66)&gt;0,"من المشاريع",IF(COUNTIF(Link_Gap_Req!$A$2:$A$79,$A66)&gt;0,"من المتطلبات","لا يوجد ربط"))</f>
        <v>لا يوجد ربط</v>
      </c>
      <c r="H66" s="2"/>
    </row>
    <row r="67" spans="1:8" ht="43.2" customHeight="1" x14ac:dyDescent="0.3">
      <c r="A67" s="2" t="s">
        <v>245</v>
      </c>
      <c r="B67" s="2" t="s">
        <v>600</v>
      </c>
      <c r="C67" s="2" t="s">
        <v>599</v>
      </c>
      <c r="D67" s="2" t="s">
        <v>601</v>
      </c>
      <c r="E67" s="2" t="s">
        <v>439</v>
      </c>
      <c r="F67" s="14">
        <f>IF(COUNTIF(Link_Project_Gap!$B$2:$B$112,$A67)&gt;0,IFERROR(AVERAGEIF(Link_Project_Gap!$B$2:$B$112,$A67,Link_Project_Gap!$C$2:$C$112),0),IFERROR(AVERAGEIF(Link_Gap_Req!$A$2:$A$79,$A67,Link_Gap_Req!$C$2:$C$79),0))</f>
        <v>0.47499999999999998</v>
      </c>
      <c r="G67" t="str">
        <f>IF(COUNTIF(Link_Project_Gap!$B$2:$B$112,$A67)&gt;0,"من المشاريع",IF(COUNTIF(Link_Gap_Req!$A$2:$A$79,$A67)&gt;0,"من المتطلبات","لا يوجد ربط"))</f>
        <v>من المشاريع</v>
      </c>
      <c r="H67" s="2"/>
    </row>
    <row r="68" spans="1:8" ht="57.6" customHeight="1" x14ac:dyDescent="0.3">
      <c r="A68" s="2" t="s">
        <v>247</v>
      </c>
      <c r="B68" s="2" t="s">
        <v>602</v>
      </c>
      <c r="C68" s="2" t="s">
        <v>599</v>
      </c>
      <c r="D68" s="2" t="s">
        <v>603</v>
      </c>
      <c r="E68" s="2" t="s">
        <v>604</v>
      </c>
      <c r="F68" s="14">
        <f>IF(COUNTIF(Link_Project_Gap!$B$2:$B$112,$A68)&gt;0,IFERROR(AVERAGEIF(Link_Project_Gap!$B$2:$B$112,$A68,Link_Project_Gap!$C$2:$C$112),0),IFERROR(AVERAGEIF(Link_Gap_Req!$A$2:$A$79,$A68,Link_Gap_Req!$C$2:$C$79),0))</f>
        <v>0.54999999999999993</v>
      </c>
      <c r="G68" t="str">
        <f>IF(COUNTIF(Link_Project_Gap!$B$2:$B$112,$A68)&gt;0,"من المشاريع",IF(COUNTIF(Link_Gap_Req!$A$2:$A$79,$A68)&gt;0,"من المتطلبات","لا يوجد ربط"))</f>
        <v>من المشاريع</v>
      </c>
      <c r="H68" s="2"/>
    </row>
    <row r="69" spans="1:8" ht="28.8" customHeight="1" x14ac:dyDescent="0.3">
      <c r="A69" s="2" t="s">
        <v>249</v>
      </c>
      <c r="B69" s="2" t="s">
        <v>605</v>
      </c>
      <c r="C69" s="2" t="s">
        <v>599</v>
      </c>
      <c r="D69" s="2" t="s">
        <v>293</v>
      </c>
      <c r="E69" s="2" t="s">
        <v>80</v>
      </c>
      <c r="F69" s="14">
        <f>IF(COUNTIF(Link_Project_Gap!$B$2:$B$112,$A69)&gt;0,IFERROR(AVERAGEIF(Link_Project_Gap!$B$2:$B$112,$A69,Link_Project_Gap!$C$2:$C$112),0),IFERROR(AVERAGEIF(Link_Gap_Req!$A$2:$A$79,$A69,Link_Gap_Req!$C$2:$C$79),0))</f>
        <v>0.45</v>
      </c>
      <c r="G69" t="str">
        <f>IF(COUNTIF(Link_Project_Gap!$B$2:$B$112,$A69)&gt;0,"من المشاريع",IF(COUNTIF(Link_Gap_Req!$A$2:$A$79,$A69)&gt;0,"من المتطلبات","لا يوجد ربط"))</f>
        <v>من المشاريع</v>
      </c>
      <c r="H69" s="2"/>
    </row>
    <row r="70" spans="1:8" ht="28.8" customHeight="1" x14ac:dyDescent="0.3">
      <c r="A70" s="2" t="s">
        <v>251</v>
      </c>
      <c r="B70" s="2" t="s">
        <v>606</v>
      </c>
      <c r="C70" s="2" t="s">
        <v>599</v>
      </c>
      <c r="D70" s="2" t="s">
        <v>295</v>
      </c>
      <c r="E70" s="2" t="s">
        <v>522</v>
      </c>
      <c r="F70" s="14">
        <f>IF(COUNTIF(Link_Project_Gap!$B$2:$B$112,$A70)&gt;0,IFERROR(AVERAGEIF(Link_Project_Gap!$B$2:$B$112,$A70,Link_Project_Gap!$C$2:$C$112),0),IFERROR(AVERAGEIF(Link_Gap_Req!$A$2:$A$79,$A70,Link_Gap_Req!$C$2:$C$79),0))</f>
        <v>0.44155</v>
      </c>
      <c r="G70" t="str">
        <f>IF(COUNTIF(Link_Project_Gap!$B$2:$B$112,$A70)&gt;0,"من المشاريع",IF(COUNTIF(Link_Gap_Req!$A$2:$A$79,$A70)&gt;0,"من المتطلبات","لا يوجد ربط"))</f>
        <v>من المشاريع</v>
      </c>
      <c r="H70" s="2"/>
    </row>
    <row r="71" spans="1:8" ht="28.8" customHeight="1" x14ac:dyDescent="0.3">
      <c r="A71" s="2" t="s">
        <v>28</v>
      </c>
      <c r="B71" s="2" t="s">
        <v>29</v>
      </c>
      <c r="C71" s="2" t="s">
        <v>599</v>
      </c>
      <c r="D71" s="2"/>
      <c r="E71" s="2"/>
      <c r="F71" s="14">
        <f>IF(COUNTIF(Link_Project_Gap!$B$2:$B$112,$A71)&gt;0,IFERROR(AVERAGEIF(Link_Project_Gap!$B$2:$B$112,$A71,Link_Project_Gap!$C$2:$C$112),0),IFERROR(AVERAGEIF(Link_Gap_Req!$A$2:$A$79,$A71,Link_Gap_Req!$C$2:$C$79),0))</f>
        <v>0</v>
      </c>
      <c r="G71" t="str">
        <f>IF(COUNTIF(Link_Project_Gap!$B$2:$B$112,$A71)&gt;0,"من المشاريع",IF(COUNTIF(Link_Gap_Req!$A$2:$A$79,$A71)&gt;0,"من المتطلبات","لا يوجد ربط"))</f>
        <v>لا يوجد ربط</v>
      </c>
      <c r="H71" s="2"/>
    </row>
    <row r="72" spans="1:8" ht="28.8" customHeight="1" x14ac:dyDescent="0.3">
      <c r="A72" s="2" t="s">
        <v>30</v>
      </c>
      <c r="B72" s="2" t="s">
        <v>31</v>
      </c>
      <c r="C72" s="2" t="s">
        <v>599</v>
      </c>
      <c r="D72" s="2"/>
      <c r="E72" s="2"/>
      <c r="F72" s="14">
        <f>IF(COUNTIF(Link_Project_Gap!$B$2:$B$112,$A72)&gt;0,IFERROR(AVERAGEIF(Link_Project_Gap!$B$2:$B$112,$A72,Link_Project_Gap!$C$2:$C$112),0),IFERROR(AVERAGEIF(Link_Gap_Req!$A$2:$A$79,$A72,Link_Gap_Req!$C$2:$C$79),0))</f>
        <v>0</v>
      </c>
      <c r="G72" t="str">
        <f>IF(COUNTIF(Link_Project_Gap!$B$2:$B$112,$A72)&gt;0,"من المشاريع",IF(COUNTIF(Link_Gap_Req!$A$2:$A$79,$A72)&gt;0,"من المتطلبات","لا يوجد ربط"))</f>
        <v>لا يوجد ربط</v>
      </c>
      <c r="H72" s="2"/>
    </row>
    <row r="73" spans="1:8" ht="28.8" customHeight="1" x14ac:dyDescent="0.3">
      <c r="A73" s="2" t="s">
        <v>32</v>
      </c>
      <c r="B73" s="2" t="s">
        <v>33</v>
      </c>
      <c r="C73" s="2" t="s">
        <v>599</v>
      </c>
      <c r="D73" s="2"/>
      <c r="E73" s="2"/>
      <c r="F73" s="14">
        <f>IF(COUNTIF(Link_Project_Gap!$B$2:$B$112,$A73)&gt;0,IFERROR(AVERAGEIF(Link_Project_Gap!$B$2:$B$112,$A73,Link_Project_Gap!$C$2:$C$112),0),IFERROR(AVERAGEIF(Link_Gap_Req!$A$2:$A$79,$A73,Link_Gap_Req!$C$2:$C$79),0))</f>
        <v>0</v>
      </c>
      <c r="G73" t="str">
        <f>IF(COUNTIF(Link_Project_Gap!$B$2:$B$112,$A73)&gt;0,"من المشاريع",IF(COUNTIF(Link_Gap_Req!$A$2:$A$79,$A73)&gt;0,"من المتطلبات","لا يوجد ربط"))</f>
        <v>لا يوجد ربط</v>
      </c>
      <c r="H73" s="2"/>
    </row>
    <row r="74" spans="1:8" ht="28.8" customHeight="1" x14ac:dyDescent="0.3">
      <c r="A74" s="2" t="s">
        <v>252</v>
      </c>
      <c r="B74" s="2" t="s">
        <v>607</v>
      </c>
      <c r="C74" s="2" t="s">
        <v>608</v>
      </c>
      <c r="D74" s="2"/>
      <c r="E74" s="2"/>
      <c r="F74" s="14">
        <f>IF(COUNTIF(Link_Project_Gap!$B$2:$B$112,$A74)&gt;0,IFERROR(AVERAGEIF(Link_Project_Gap!$B$2:$B$112,$A74,Link_Project_Gap!$C$2:$C$112),0),IFERROR(AVERAGEIF(Link_Gap_Req!$A$2:$A$79,$A74,Link_Gap_Req!$C$2:$C$79),0))</f>
        <v>0</v>
      </c>
      <c r="G74" t="str">
        <f>IF(COUNTIF(Link_Project_Gap!$B$2:$B$112,$A74)&gt;0,"من المشاريع",IF(COUNTIF(Link_Gap_Req!$A$2:$A$79,$A74)&gt;0,"من المتطلبات","لا يوجد ربط"))</f>
        <v>لا يوجد ربط</v>
      </c>
      <c r="H74" s="2"/>
    </row>
    <row r="75" spans="1:8" ht="28.8" customHeight="1" x14ac:dyDescent="0.3">
      <c r="A75" s="2" t="s">
        <v>253</v>
      </c>
      <c r="B75" s="2" t="s">
        <v>609</v>
      </c>
      <c r="C75" s="2" t="s">
        <v>608</v>
      </c>
      <c r="D75" s="2"/>
      <c r="E75" s="2"/>
      <c r="F75" s="14">
        <f>IF(COUNTIF(Link_Project_Gap!$B$2:$B$112,$A75)&gt;0,IFERROR(AVERAGEIF(Link_Project_Gap!$B$2:$B$112,$A75,Link_Project_Gap!$C$2:$C$112),0),IFERROR(AVERAGEIF(Link_Gap_Req!$A$2:$A$79,$A75,Link_Gap_Req!$C$2:$C$79),0))</f>
        <v>0</v>
      </c>
      <c r="G75" t="str">
        <f>IF(COUNTIF(Link_Project_Gap!$B$2:$B$112,$A75)&gt;0,"من المشاريع",IF(COUNTIF(Link_Gap_Req!$A$2:$A$79,$A75)&gt;0,"من المتطلبات","لا يوجد ربط"))</f>
        <v>لا يوجد ربط</v>
      </c>
      <c r="H75" s="2"/>
    </row>
    <row r="76" spans="1:8" ht="28.8" customHeight="1" x14ac:dyDescent="0.3">
      <c r="A76" s="2" t="s">
        <v>254</v>
      </c>
      <c r="B76" s="2" t="s">
        <v>610</v>
      </c>
      <c r="C76" s="2" t="s">
        <v>608</v>
      </c>
      <c r="D76" s="2"/>
      <c r="E76" s="2"/>
      <c r="F76" s="14">
        <f>IF(COUNTIF(Link_Project_Gap!$B$2:$B$112,$A76)&gt;0,IFERROR(AVERAGEIF(Link_Project_Gap!$B$2:$B$112,$A76,Link_Project_Gap!$C$2:$C$112),0),IFERROR(AVERAGEIF(Link_Gap_Req!$A$2:$A$79,$A76,Link_Gap_Req!$C$2:$C$79),0))</f>
        <v>0</v>
      </c>
      <c r="G76" t="str">
        <f>IF(COUNTIF(Link_Project_Gap!$B$2:$B$112,$A76)&gt;0,"من المشاريع",IF(COUNTIF(Link_Gap_Req!$A$2:$A$79,$A76)&gt;0,"من المتطلبات","لا يوجد ربط"))</f>
        <v>لا يوجد ربط</v>
      </c>
      <c r="H76" s="2"/>
    </row>
    <row r="77" spans="1:8" ht="28.8" customHeight="1" x14ac:dyDescent="0.3">
      <c r="A77" s="2" t="s">
        <v>255</v>
      </c>
      <c r="B77" s="2" t="s">
        <v>611</v>
      </c>
      <c r="C77" s="2" t="s">
        <v>608</v>
      </c>
      <c r="D77" s="2" t="s">
        <v>293</v>
      </c>
      <c r="E77" s="2" t="s">
        <v>80</v>
      </c>
      <c r="F77" s="14">
        <f>IF(COUNTIF(Link_Project_Gap!$B$2:$B$112,$A77)&gt;0,IFERROR(AVERAGEIF(Link_Project_Gap!$B$2:$B$112,$A77,Link_Project_Gap!$C$2:$C$112),0),IFERROR(AVERAGEIF(Link_Gap_Req!$A$2:$A$79,$A77,Link_Gap_Req!$C$2:$C$79),0))</f>
        <v>0.45</v>
      </c>
      <c r="G77" t="str">
        <f>IF(COUNTIF(Link_Project_Gap!$B$2:$B$112,$A77)&gt;0,"من المشاريع",IF(COUNTIF(Link_Gap_Req!$A$2:$A$79,$A77)&gt;0,"من المتطلبات","لا يوجد ربط"))</f>
        <v>من المشاريع</v>
      </c>
      <c r="H77" s="2"/>
    </row>
    <row r="78" spans="1:8" ht="28.8" customHeight="1" x14ac:dyDescent="0.3">
      <c r="A78" s="2" t="s">
        <v>256</v>
      </c>
      <c r="B78" s="2" t="s">
        <v>612</v>
      </c>
      <c r="C78" s="2" t="s">
        <v>608</v>
      </c>
      <c r="D78" s="2" t="s">
        <v>310</v>
      </c>
      <c r="E78" s="2" t="s">
        <v>78</v>
      </c>
      <c r="F78" s="14">
        <f>IF(COUNTIF(Link_Project_Gap!$B$2:$B$112,$A78)&gt;0,IFERROR(AVERAGEIF(Link_Project_Gap!$B$2:$B$112,$A78,Link_Project_Gap!$C$2:$C$112),0),IFERROR(AVERAGEIF(Link_Gap_Req!$A$2:$A$79,$A78,Link_Gap_Req!$C$2:$C$79),0))</f>
        <v>0.5</v>
      </c>
      <c r="G78" t="str">
        <f>IF(COUNTIF(Link_Project_Gap!$B$2:$B$112,$A78)&gt;0,"من المشاريع",IF(COUNTIF(Link_Gap_Req!$A$2:$A$79,$A78)&gt;0,"من المتطلبات","لا يوجد ربط"))</f>
        <v>من المشاريع</v>
      </c>
      <c r="H78" s="2"/>
    </row>
    <row r="79" spans="1:8" ht="28.8" customHeight="1" x14ac:dyDescent="0.3">
      <c r="A79" s="2" t="s">
        <v>257</v>
      </c>
      <c r="B79" s="2" t="s">
        <v>613</v>
      </c>
      <c r="C79" s="2" t="s">
        <v>608</v>
      </c>
      <c r="D79" s="2" t="s">
        <v>310</v>
      </c>
      <c r="E79" s="2" t="s">
        <v>78</v>
      </c>
      <c r="F79" s="14">
        <f>IF(COUNTIF(Link_Project_Gap!$B$2:$B$112,$A79)&gt;0,IFERROR(AVERAGEIF(Link_Project_Gap!$B$2:$B$112,$A79,Link_Project_Gap!$C$2:$C$112),0),IFERROR(AVERAGEIF(Link_Gap_Req!$A$2:$A$79,$A79,Link_Gap_Req!$C$2:$C$79),0))</f>
        <v>0.5</v>
      </c>
      <c r="G79" t="str">
        <f>IF(COUNTIF(Link_Project_Gap!$B$2:$B$112,$A79)&gt;0,"من المشاريع",IF(COUNTIF(Link_Gap_Req!$A$2:$A$79,$A79)&gt;0,"من المتطلبات","لا يوجد ربط"))</f>
        <v>من المشاريع</v>
      </c>
      <c r="H79" s="2"/>
    </row>
    <row r="80" spans="1:8" ht="28.8" customHeight="1" x14ac:dyDescent="0.3">
      <c r="A80" s="2" t="s">
        <v>258</v>
      </c>
      <c r="B80" s="2" t="s">
        <v>614</v>
      </c>
      <c r="C80" s="2" t="s">
        <v>608</v>
      </c>
      <c r="D80" s="2" t="s">
        <v>363</v>
      </c>
      <c r="E80" s="2" t="s">
        <v>76</v>
      </c>
      <c r="F80" s="14">
        <f>IF(COUNTIF(Link_Project_Gap!$B$2:$B$112,$A80)&gt;0,IFERROR(AVERAGEIF(Link_Project_Gap!$B$2:$B$112,$A80,Link_Project_Gap!$C$2:$C$112),0),IFERROR(AVERAGEIF(Link_Gap_Req!$A$2:$A$79,$A80,Link_Gap_Req!$C$2:$C$79),0))</f>
        <v>0.4</v>
      </c>
      <c r="G80" t="str">
        <f>IF(COUNTIF(Link_Project_Gap!$B$2:$B$112,$A80)&gt;0,"من المشاريع",IF(COUNTIF(Link_Gap_Req!$A$2:$A$79,$A80)&gt;0,"من المتطلبات","لا يوجد ربط"))</f>
        <v>من المشاريع</v>
      </c>
      <c r="H80" s="2"/>
    </row>
    <row r="81" spans="1:8" ht="28.8" customHeight="1" x14ac:dyDescent="0.3">
      <c r="A81" s="2" t="s">
        <v>22</v>
      </c>
      <c r="B81" s="2" t="s">
        <v>23</v>
      </c>
      <c r="C81" s="2" t="s">
        <v>608</v>
      </c>
      <c r="D81" s="2" t="s">
        <v>40</v>
      </c>
      <c r="E81" s="2" t="s">
        <v>77</v>
      </c>
      <c r="F81" s="14">
        <f>IF(COUNTIF(Link_Project_Gap!$B$2:$B$112,$A81)&gt;0,IFERROR(AVERAGEIF(Link_Project_Gap!$B$2:$B$112,$A81,Link_Project_Gap!$C$2:$C$112),0),IFERROR(AVERAGEIF(Link_Gap_Req!$A$2:$A$79,$A81,Link_Gap_Req!$C$2:$C$79),0))</f>
        <v>0</v>
      </c>
      <c r="G81" t="str">
        <f>IF(COUNTIF(Link_Project_Gap!$B$2:$B$112,$A81)&gt;0,"من المشاريع",IF(COUNTIF(Link_Gap_Req!$A$2:$A$79,$A81)&gt;0,"من المتطلبات","لا يوجد ربط"))</f>
        <v>من المشاريع</v>
      </c>
      <c r="H81" s="2"/>
    </row>
    <row r="82" spans="1:8" ht="28.8" customHeight="1" x14ac:dyDescent="0.3">
      <c r="A82" s="2" t="s">
        <v>259</v>
      </c>
      <c r="B82" s="2" t="s">
        <v>615</v>
      </c>
      <c r="C82" s="2" t="s">
        <v>608</v>
      </c>
      <c r="D82" s="2"/>
      <c r="E82" s="2"/>
      <c r="F82" s="14">
        <f>IF(COUNTIF(Link_Project_Gap!$B$2:$B$112,$A82)&gt;0,IFERROR(AVERAGEIF(Link_Project_Gap!$B$2:$B$112,$A82,Link_Project_Gap!$C$2:$C$112),0),IFERROR(AVERAGEIF(Link_Gap_Req!$A$2:$A$79,$A82,Link_Gap_Req!$C$2:$C$79),0))</f>
        <v>0</v>
      </c>
      <c r="G82" t="str">
        <f>IF(COUNTIF(Link_Project_Gap!$B$2:$B$112,$A82)&gt;0,"من المشاريع",IF(COUNTIF(Link_Gap_Req!$A$2:$A$79,$A82)&gt;0,"من المتطلبات","لا يوجد ربط"))</f>
        <v>لا يوجد ربط</v>
      </c>
      <c r="H82" s="2"/>
    </row>
    <row r="83" spans="1:8" ht="28.8" customHeight="1" x14ac:dyDescent="0.3">
      <c r="A83" s="2" t="s">
        <v>260</v>
      </c>
      <c r="B83" s="2" t="s">
        <v>616</v>
      </c>
      <c r="C83" s="2" t="s">
        <v>608</v>
      </c>
      <c r="D83" s="2" t="s">
        <v>285</v>
      </c>
      <c r="E83" s="2" t="s">
        <v>139</v>
      </c>
      <c r="F83" s="14">
        <f>IF(COUNTIF(Link_Project_Gap!$B$2:$B$112,$A83)&gt;0,IFERROR(AVERAGEIF(Link_Project_Gap!$B$2:$B$112,$A83,Link_Project_Gap!$C$2:$C$112),0),IFERROR(AVERAGEIF(Link_Gap_Req!$A$2:$A$79,$A83,Link_Gap_Req!$C$2:$C$79),0))</f>
        <v>0.55000000000000004</v>
      </c>
      <c r="G83" t="str">
        <f>IF(COUNTIF(Link_Project_Gap!$B$2:$B$112,$A83)&gt;0,"من المشاريع",IF(COUNTIF(Link_Gap_Req!$A$2:$A$79,$A83)&gt;0,"من المتطلبات","لا يوجد ربط"))</f>
        <v>من المشاريع</v>
      </c>
      <c r="H83" s="2"/>
    </row>
    <row r="84" spans="1:8" ht="28.8" customHeight="1" x14ac:dyDescent="0.3">
      <c r="A84" s="2" t="s">
        <v>261</v>
      </c>
      <c r="B84" s="2" t="s">
        <v>617</v>
      </c>
      <c r="C84" s="2" t="s">
        <v>608</v>
      </c>
      <c r="D84" s="2" t="s">
        <v>290</v>
      </c>
      <c r="E84" s="2" t="s">
        <v>618</v>
      </c>
      <c r="F84" s="14">
        <f>IF(COUNTIF(Link_Project_Gap!$B$2:$B$112,$A84)&gt;0,IFERROR(AVERAGEIF(Link_Project_Gap!$B$2:$B$112,$A84,Link_Project_Gap!$C$2:$C$112),0),IFERROR(AVERAGEIF(Link_Gap_Req!$A$2:$A$79,$A84,Link_Gap_Req!$C$2:$C$79),0))</f>
        <v>0.25</v>
      </c>
      <c r="G84" t="str">
        <f>IF(COUNTIF(Link_Project_Gap!$B$2:$B$112,$A84)&gt;0,"من المشاريع",IF(COUNTIF(Link_Gap_Req!$A$2:$A$79,$A84)&gt;0,"من المتطلبات","لا يوجد ربط"))</f>
        <v>من المشاريع</v>
      </c>
      <c r="H84" s="2"/>
    </row>
    <row r="85" spans="1:8" ht="28.8" customHeight="1" x14ac:dyDescent="0.3">
      <c r="A85" s="2" t="s">
        <v>262</v>
      </c>
      <c r="B85" s="2" t="s">
        <v>619</v>
      </c>
      <c r="C85" s="2" t="s">
        <v>608</v>
      </c>
      <c r="D85" s="2" t="s">
        <v>324</v>
      </c>
      <c r="E85" s="2" t="s">
        <v>620</v>
      </c>
      <c r="F85" s="14">
        <f>IF(COUNTIF(Link_Project_Gap!$B$2:$B$112,$A85)&gt;0,IFERROR(AVERAGEIF(Link_Project_Gap!$B$2:$B$112,$A85,Link_Project_Gap!$C$2:$C$112),0),IFERROR(AVERAGEIF(Link_Gap_Req!$A$2:$A$79,$A85,Link_Gap_Req!$C$2:$C$79),0))</f>
        <v>0.2</v>
      </c>
      <c r="G85" t="str">
        <f>IF(COUNTIF(Link_Project_Gap!$B$2:$B$112,$A85)&gt;0,"من المشاريع",IF(COUNTIF(Link_Gap_Req!$A$2:$A$79,$A85)&gt;0,"من المتطلبات","لا يوجد ربط"))</f>
        <v>من المشاريع</v>
      </c>
      <c r="H85" s="2"/>
    </row>
    <row r="86" spans="1:8" ht="57.6" customHeight="1" x14ac:dyDescent="0.3">
      <c r="A86" s="2" t="s">
        <v>263</v>
      </c>
      <c r="B86" s="2" t="s">
        <v>621</v>
      </c>
      <c r="C86" s="2" t="s">
        <v>608</v>
      </c>
      <c r="D86" s="2" t="s">
        <v>308</v>
      </c>
      <c r="E86" s="2" t="s">
        <v>622</v>
      </c>
      <c r="F86" s="14">
        <f>IF(COUNTIF(Link_Project_Gap!$B$2:$B$112,$A86)&gt;0,IFERROR(AVERAGEIF(Link_Project_Gap!$B$2:$B$112,$A86,Link_Project_Gap!$C$2:$C$112),0),IFERROR(AVERAGEIF(Link_Gap_Req!$A$2:$A$79,$A86,Link_Gap_Req!$C$2:$C$79),0))</f>
        <v>0.35000000000000003</v>
      </c>
      <c r="G86" t="str">
        <f>IF(COUNTIF(Link_Project_Gap!$B$2:$B$112,$A86)&gt;0,"من المشاريع",IF(COUNTIF(Link_Gap_Req!$A$2:$A$79,$A86)&gt;0,"من المتطلبات","لا يوجد ربط"))</f>
        <v>من المشاريع</v>
      </c>
      <c r="H86" s="2"/>
    </row>
    <row r="87" spans="1:8" ht="57.6" customHeight="1" x14ac:dyDescent="0.3">
      <c r="A87" s="2" t="s">
        <v>264</v>
      </c>
      <c r="B87" s="2" t="s">
        <v>623</v>
      </c>
      <c r="C87" s="2" t="s">
        <v>608</v>
      </c>
      <c r="D87" s="2" t="s">
        <v>312</v>
      </c>
      <c r="E87" s="2" t="s">
        <v>624</v>
      </c>
      <c r="F87" s="14">
        <f>IF(COUNTIF(Link_Project_Gap!$B$2:$B$112,$A87)&gt;0,IFERROR(AVERAGEIF(Link_Project_Gap!$B$2:$B$112,$A87,Link_Project_Gap!$C$2:$C$112),0),IFERROR(AVERAGEIF(Link_Gap_Req!$A$2:$A$79,$A87,Link_Gap_Req!$C$2:$C$79),0))</f>
        <v>0.3</v>
      </c>
      <c r="G87" t="str">
        <f>IF(COUNTIF(Link_Project_Gap!$B$2:$B$112,$A87)&gt;0,"من المشاريع",IF(COUNTIF(Link_Gap_Req!$A$2:$A$79,$A87)&gt;0,"من المتطلبات","لا يوجد ربط"))</f>
        <v>من المشاريع</v>
      </c>
      <c r="H87" s="2"/>
    </row>
    <row r="88" spans="1:8" ht="28.8" customHeight="1" x14ac:dyDescent="0.3">
      <c r="A88" s="2" t="s">
        <v>265</v>
      </c>
      <c r="B88" s="2" t="s">
        <v>625</v>
      </c>
      <c r="C88" s="2" t="s">
        <v>608</v>
      </c>
      <c r="D88" s="2"/>
      <c r="E88" s="2"/>
      <c r="F88" s="14">
        <f>IF(COUNTIF(Link_Project_Gap!$B$2:$B$112,$A88)&gt;0,IFERROR(AVERAGEIF(Link_Project_Gap!$B$2:$B$112,$A88,Link_Project_Gap!$C$2:$C$112),0),IFERROR(AVERAGEIF(Link_Gap_Req!$A$2:$A$79,$A88,Link_Gap_Req!$C$2:$C$79),0))</f>
        <v>0</v>
      </c>
      <c r="G88" t="str">
        <f>IF(COUNTIF(Link_Project_Gap!$B$2:$B$112,$A88)&gt;0,"من المشاريع",IF(COUNTIF(Link_Gap_Req!$A$2:$A$79,$A88)&gt;0,"من المتطلبات","لا يوجد ربط"))</f>
        <v>لا يوجد ربط</v>
      </c>
      <c r="H88" s="2"/>
    </row>
    <row r="89" spans="1:8" ht="28.8" customHeight="1" x14ac:dyDescent="0.3">
      <c r="A89" s="2" t="s">
        <v>266</v>
      </c>
      <c r="B89" s="2" t="s">
        <v>626</v>
      </c>
      <c r="C89" s="2" t="s">
        <v>608</v>
      </c>
      <c r="D89" s="2"/>
      <c r="E89" s="2"/>
      <c r="F89" s="14">
        <f>IF(COUNTIF(Link_Project_Gap!$B$2:$B$112,$A89)&gt;0,IFERROR(AVERAGEIF(Link_Project_Gap!$B$2:$B$112,$A89,Link_Project_Gap!$C$2:$C$112),0),IFERROR(AVERAGEIF(Link_Gap_Req!$A$2:$A$79,$A89,Link_Gap_Req!$C$2:$C$79),0))</f>
        <v>0</v>
      </c>
      <c r="G89" t="str">
        <f>IF(COUNTIF(Link_Project_Gap!$B$2:$B$112,$A89)&gt;0,"من المشاريع",IF(COUNTIF(Link_Gap_Req!$A$2:$A$79,$A89)&gt;0,"من المتطلبات","لا يوجد ربط"))</f>
        <v>لا يوجد ربط</v>
      </c>
      <c r="H89" s="2"/>
    </row>
    <row r="90" spans="1:8" ht="43.2" customHeight="1" x14ac:dyDescent="0.3">
      <c r="A90" s="2" t="s">
        <v>267</v>
      </c>
      <c r="B90" s="2" t="s">
        <v>627</v>
      </c>
      <c r="C90" s="2" t="s">
        <v>608</v>
      </c>
      <c r="D90" s="2" t="s">
        <v>288</v>
      </c>
      <c r="E90" s="2" t="s">
        <v>400</v>
      </c>
      <c r="F90" s="14">
        <f>IF(COUNTIF(Link_Project_Gap!$B$2:$B$112,$A90)&gt;0,IFERROR(AVERAGEIF(Link_Project_Gap!$B$2:$B$112,$A90,Link_Project_Gap!$C$2:$C$112),0),IFERROR(AVERAGEIF(Link_Gap_Req!$A$2:$A$79,$A90,Link_Gap_Req!$C$2:$C$79),0))</f>
        <v>0.45</v>
      </c>
      <c r="G90" t="str">
        <f>IF(COUNTIF(Link_Project_Gap!$B$2:$B$112,$A90)&gt;0,"من المشاريع",IF(COUNTIF(Link_Gap_Req!$A$2:$A$79,$A90)&gt;0,"من المتطلبات","لا يوجد ربط"))</f>
        <v>من المشاريع</v>
      </c>
      <c r="H90" s="2"/>
    </row>
    <row r="91" spans="1:8" ht="28.8" customHeight="1" x14ac:dyDescent="0.3">
      <c r="A91" s="2" t="s">
        <v>268</v>
      </c>
      <c r="B91" s="2" t="s">
        <v>628</v>
      </c>
      <c r="C91" s="2" t="s">
        <v>608</v>
      </c>
      <c r="D91" s="2"/>
      <c r="E91" s="2"/>
      <c r="F91" s="14">
        <f>IF(COUNTIF(Link_Project_Gap!$B$2:$B$112,$A91)&gt;0,IFERROR(AVERAGEIF(Link_Project_Gap!$B$2:$B$112,$A91,Link_Project_Gap!$C$2:$C$112),0),IFERROR(AVERAGEIF(Link_Gap_Req!$A$2:$A$79,$A91,Link_Gap_Req!$C$2:$C$79),0))</f>
        <v>0</v>
      </c>
      <c r="G91" t="str">
        <f>IF(COUNTIF(Link_Project_Gap!$B$2:$B$112,$A91)&gt;0,"من المشاريع",IF(COUNTIF(Link_Gap_Req!$A$2:$A$79,$A91)&gt;0,"من المتطلبات","لا يوجد ربط"))</f>
        <v>لا يوجد ربط</v>
      </c>
      <c r="H91" s="2"/>
    </row>
    <row r="92" spans="1:8" ht="28.8" customHeight="1" x14ac:dyDescent="0.3">
      <c r="A92" s="2" t="s">
        <v>269</v>
      </c>
      <c r="B92" s="2" t="s">
        <v>629</v>
      </c>
      <c r="C92" s="2" t="s">
        <v>608</v>
      </c>
      <c r="D92" s="2"/>
      <c r="E92" s="2"/>
      <c r="F92" s="14">
        <f>IF(COUNTIF(Link_Project_Gap!$B$2:$B$112,$A92)&gt;0,IFERROR(AVERAGEIF(Link_Project_Gap!$B$2:$B$112,$A92,Link_Project_Gap!$C$2:$C$112),0),IFERROR(AVERAGEIF(Link_Gap_Req!$A$2:$A$79,$A92,Link_Gap_Req!$C$2:$C$79),0))</f>
        <v>0</v>
      </c>
      <c r="G92" t="str">
        <f>IF(COUNTIF(Link_Project_Gap!$B$2:$B$112,$A92)&gt;0,"من المشاريع",IF(COUNTIF(Link_Gap_Req!$A$2:$A$79,$A92)&gt;0,"من المتطلبات","لا يوجد ربط"))</f>
        <v>لا يوجد ربط</v>
      </c>
      <c r="H92" s="2"/>
    </row>
    <row r="93" spans="1:8" ht="28.8" customHeight="1" x14ac:dyDescent="0.3">
      <c r="A93" s="2" t="s">
        <v>270</v>
      </c>
      <c r="B93" s="2" t="s">
        <v>630</v>
      </c>
      <c r="C93" s="2" t="s">
        <v>608</v>
      </c>
      <c r="D93" s="2"/>
      <c r="E93" s="2"/>
      <c r="F93" s="14">
        <f>IF(COUNTIF(Link_Project_Gap!$B$2:$B$112,$A93)&gt;0,IFERROR(AVERAGEIF(Link_Project_Gap!$B$2:$B$112,$A93,Link_Project_Gap!$C$2:$C$112),0),IFERROR(AVERAGEIF(Link_Gap_Req!$A$2:$A$79,$A93,Link_Gap_Req!$C$2:$C$79),0))</f>
        <v>0</v>
      </c>
      <c r="G93" t="str">
        <f>IF(COUNTIF(Link_Project_Gap!$B$2:$B$112,$A93)&gt;0,"من المشاريع",IF(COUNTIF(Link_Gap_Req!$A$2:$A$79,$A93)&gt;0,"من المتطلبات","لا يوجد ربط"))</f>
        <v>لا يوجد ربط</v>
      </c>
      <c r="H93" s="2"/>
    </row>
  </sheetData>
  <conditionalFormatting sqref="F2:F93">
    <cfRule type="cellIs" dxfId="6" priority="5" operator="greaterThanOrEqual">
      <formula>0.95</formula>
    </cfRule>
    <cfRule type="cellIs" dxfId="5" priority="6" operator="between">
      <formula>0.2</formula>
      <formula>0.95</formula>
    </cfRule>
    <cfRule type="cellIs" dxfId="4" priority="7" operator="lessThan">
      <formula>0.2</formula>
    </cfRule>
  </conditionalFormatting>
  <conditionalFormatting sqref="F2:F1000">
    <cfRule type="expression" dxfId="3" priority="1">
      <formula>$F2="متوفر"</formula>
    </cfRule>
    <cfRule type="expression" dxfId="2" priority="2">
      <formula>$F2="جزئي"</formula>
    </cfRule>
    <cfRule type="expression" dxfId="1" priority="3">
      <formula>$F2="غير متوفر"</formula>
    </cfRule>
    <cfRule type="expression" dxfId="0" priority="4">
      <formula>$F2="قيد التجهيز"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8"/>
  <sheetViews>
    <sheetView rightToLeft="1" topLeftCell="A43" workbookViewId="0">
      <selection activeCell="C67" sqref="C67"/>
    </sheetView>
  </sheetViews>
  <sheetFormatPr defaultRowHeight="14.4" x14ac:dyDescent="0.3"/>
  <cols>
    <col min="1" max="1" width="54.6640625" bestFit="1" customWidth="1"/>
    <col min="2" max="2" width="9.6640625" bestFit="1" customWidth="1"/>
    <col min="3" max="3" width="38" customWidth="1"/>
    <col min="4" max="4" width="43" customWidth="1"/>
  </cols>
  <sheetData>
    <row r="1" spans="1:5" x14ac:dyDescent="0.3">
      <c r="A1" s="15" t="s">
        <v>631</v>
      </c>
      <c r="B1" s="15" t="s">
        <v>35</v>
      </c>
      <c r="C1" s="15" t="s">
        <v>632</v>
      </c>
      <c r="D1" s="15" t="s">
        <v>633</v>
      </c>
      <c r="E1" t="s">
        <v>634</v>
      </c>
    </row>
    <row r="2" spans="1:5" x14ac:dyDescent="0.3">
      <c r="A2" t="s">
        <v>108</v>
      </c>
      <c r="B2" t="s">
        <v>56</v>
      </c>
      <c r="C2" s="14">
        <f>IFERROR(VLOOKUP(A2,'متابعة المشاريع'!$A$2:$F$1003,6,FALSE),0)</f>
        <v>0.25</v>
      </c>
      <c r="D2" s="14">
        <f>IFERROR(VLOOKUP(B2,'متابعة المتطلبات'!$A$2:$K$47,11,FALSE),0)</f>
        <v>0.125</v>
      </c>
      <c r="E2" t="str">
        <f>IFERROR(VLOOKUP(A2,'متابعة المشاريع'!$A$2:$E$1003,5,FALSE),"")</f>
        <v>قيد التنفيذ</v>
      </c>
    </row>
    <row r="3" spans="1:5" x14ac:dyDescent="0.3">
      <c r="A3" t="s">
        <v>70</v>
      </c>
      <c r="B3" t="s">
        <v>346</v>
      </c>
      <c r="C3" s="14">
        <f>IFERROR(VLOOKUP(A3,'متابعة المشاريع'!$A$2:$F$1003,6,FALSE),0)</f>
        <v>0.7</v>
      </c>
      <c r="D3" s="14">
        <f>IFERROR(VLOOKUP(B3,'متابعة المتطلبات'!$A$2:$K$47,11,FALSE),0)</f>
        <v>0.7</v>
      </c>
      <c r="E3" t="str">
        <f>IFERROR(VLOOKUP(A3,'متابعة المشاريع'!$A$2:$E$1003,5,FALSE),"")</f>
        <v>قيد التنفيذ</v>
      </c>
    </row>
    <row r="4" spans="1:5" x14ac:dyDescent="0.3">
      <c r="A4" t="s">
        <v>70</v>
      </c>
      <c r="B4" t="s">
        <v>490</v>
      </c>
      <c r="C4" s="14">
        <f>IFERROR(VLOOKUP(A4,'متابعة المشاريع'!$A$2:$F$1003,6,FALSE),0)</f>
        <v>0.7</v>
      </c>
      <c r="D4" s="14">
        <f>IFERROR(VLOOKUP(B4,'متابعة المتطلبات'!$A$2:$K$47,11,FALSE),0)</f>
        <v>0.44999999999999996</v>
      </c>
      <c r="E4" t="str">
        <f>IFERROR(VLOOKUP(A4,'متابعة المشاريع'!$A$2:$E$1003,5,FALSE),"")</f>
        <v>قيد التنفيذ</v>
      </c>
    </row>
    <row r="5" spans="1:5" x14ac:dyDescent="0.3">
      <c r="A5" t="s">
        <v>70</v>
      </c>
      <c r="B5" t="s">
        <v>505</v>
      </c>
      <c r="C5" s="14">
        <f>IFERROR(VLOOKUP(A5,'متابعة المشاريع'!$A$2:$F$1003,6,FALSE),0)</f>
        <v>0.7</v>
      </c>
      <c r="D5" s="14">
        <f>IFERROR(VLOOKUP(B5,'متابعة المتطلبات'!$A$2:$K$47,11,FALSE),0)</f>
        <v>0.7</v>
      </c>
      <c r="E5" t="str">
        <f>IFERROR(VLOOKUP(A5,'متابعة المشاريع'!$A$2:$E$1003,5,FALSE),"")</f>
        <v>قيد التنفيذ</v>
      </c>
    </row>
    <row r="6" spans="1:5" x14ac:dyDescent="0.3">
      <c r="A6" t="s">
        <v>70</v>
      </c>
      <c r="B6" t="s">
        <v>406</v>
      </c>
      <c r="C6" s="14">
        <f>IFERROR(VLOOKUP(A6,'متابعة المشاريع'!$A$2:$F$1003,6,FALSE),0)</f>
        <v>0.7</v>
      </c>
      <c r="D6" s="14">
        <f>IFERROR(VLOOKUP(B6,'متابعة المتطلبات'!$A$2:$K$47,11,FALSE),0)</f>
        <v>0.35</v>
      </c>
      <c r="E6" t="str">
        <f>IFERROR(VLOOKUP(A6,'متابعة المشاريع'!$A$2:$E$1003,5,FALSE),"")</f>
        <v>قيد التنفيذ</v>
      </c>
    </row>
    <row r="7" spans="1:5" x14ac:dyDescent="0.3">
      <c r="A7" t="s">
        <v>70</v>
      </c>
      <c r="B7" t="s">
        <v>412</v>
      </c>
      <c r="C7" s="14">
        <f>IFERROR(VLOOKUP(A7,'متابعة المشاريع'!$A$2:$F$1003,6,FALSE),0)</f>
        <v>0.7</v>
      </c>
      <c r="D7" s="14">
        <f>IFERROR(VLOOKUP(B7,'متابعة المتطلبات'!$A$2:$K$47,11,FALSE),0)</f>
        <v>0.35</v>
      </c>
      <c r="E7" t="str">
        <f>IFERROR(VLOOKUP(A7,'متابعة المشاريع'!$A$2:$E$1003,5,FALSE),"")</f>
        <v>قيد التنفيذ</v>
      </c>
    </row>
    <row r="8" spans="1:5" x14ac:dyDescent="0.3">
      <c r="A8" t="s">
        <v>70</v>
      </c>
      <c r="B8" t="s">
        <v>500</v>
      </c>
      <c r="C8" s="14">
        <f>IFERROR(VLOOKUP(A8,'متابعة المشاريع'!$A$2:$F$1003,6,FALSE),0)</f>
        <v>0.7</v>
      </c>
      <c r="D8" s="14">
        <f>IFERROR(VLOOKUP(B8,'متابعة المتطلبات'!$A$2:$K$47,11,FALSE),0)</f>
        <v>0.44999999999999996</v>
      </c>
      <c r="E8" t="str">
        <f>IFERROR(VLOOKUP(A8,'متابعة المشاريع'!$A$2:$E$1003,5,FALSE),"")</f>
        <v>قيد التنفيذ</v>
      </c>
    </row>
    <row r="9" spans="1:5" x14ac:dyDescent="0.3">
      <c r="A9" t="s">
        <v>139</v>
      </c>
      <c r="B9" t="s">
        <v>285</v>
      </c>
      <c r="C9" s="14">
        <f>IFERROR(VLOOKUP(A9,'متابعة المشاريع'!$A$2:$F$1003,6,FALSE),0)</f>
        <v>0.55000000000000004</v>
      </c>
      <c r="D9" s="14">
        <f>IFERROR(VLOOKUP(B9,'متابعة المتطلبات'!$A$2:$K$47,11,FALSE),0)</f>
        <v>0.55000000000000004</v>
      </c>
      <c r="E9" t="str">
        <f>IFERROR(VLOOKUP(A9,'متابعة المشاريع'!$A$2:$E$1003,5,FALSE),"")</f>
        <v>قيد التنفيذ</v>
      </c>
    </row>
    <row r="10" spans="1:5" x14ac:dyDescent="0.3">
      <c r="A10" t="s">
        <v>150</v>
      </c>
      <c r="B10" t="s">
        <v>288</v>
      </c>
      <c r="C10" s="14">
        <f>IFERROR(VLOOKUP(A10,'متابعة المشاريع'!$A$2:$F$1003,6,FALSE),0)</f>
        <v>0.4</v>
      </c>
      <c r="D10" s="14">
        <f>IFERROR(VLOOKUP(B10,'متابعة المتطلبات'!$A$2:$K$47,11,FALSE),0)</f>
        <v>0.45</v>
      </c>
      <c r="E10" t="str">
        <f>IFERROR(VLOOKUP(A10,'متابعة المشاريع'!$A$2:$E$1003,5,FALSE),"")</f>
        <v>قيد التنفيذ</v>
      </c>
    </row>
    <row r="11" spans="1:5" x14ac:dyDescent="0.3">
      <c r="A11" t="s">
        <v>158</v>
      </c>
      <c r="B11" t="s">
        <v>290</v>
      </c>
      <c r="C11" s="14">
        <f>IFERROR(VLOOKUP(A11,'متابعة المشاريع'!$A$2:$F$1003,6,FALSE),0)</f>
        <v>0</v>
      </c>
      <c r="D11" s="14">
        <f>IFERROR(VLOOKUP(B11,'متابعة المتطلبات'!$A$2:$K$47,11,FALSE),0)</f>
        <v>0.25</v>
      </c>
      <c r="E11" t="str">
        <f>IFERROR(VLOOKUP(A11,'متابعة المشاريع'!$A$2:$E$1003,5,FALSE),"")</f>
        <v>لم يبدأ</v>
      </c>
    </row>
    <row r="12" spans="1:5" x14ac:dyDescent="0.3">
      <c r="A12" t="s">
        <v>80</v>
      </c>
      <c r="B12" t="s">
        <v>293</v>
      </c>
      <c r="C12" s="14">
        <f>IFERROR(VLOOKUP(A12,'متابعة المشاريع'!$A$2:$F$1003,6,FALSE),0)</f>
        <v>0.45</v>
      </c>
      <c r="D12" s="14">
        <f>IFERROR(VLOOKUP(B12,'متابعة المتطلبات'!$A$2:$K$47,11,FALSE),0)</f>
        <v>0.45</v>
      </c>
      <c r="E12" t="str">
        <f>IFERROR(VLOOKUP(A12,'متابعة المشاريع'!$A$2:$E$1003,5,FALSE),"")</f>
        <v>حسب المخطط</v>
      </c>
    </row>
    <row r="13" spans="1:5" x14ac:dyDescent="0.3">
      <c r="A13" t="s">
        <v>179</v>
      </c>
      <c r="B13" t="s">
        <v>295</v>
      </c>
      <c r="C13" s="14">
        <f>IFERROR(VLOOKUP(A13,'متابعة المشاريع'!$A$2:$F$1003,6,FALSE),0)</f>
        <v>0.35</v>
      </c>
      <c r="D13" s="14">
        <f>IFERROR(VLOOKUP(B13,'متابعة المتطلبات'!$A$2:$K$47,11,FALSE),0)</f>
        <v>0.44155</v>
      </c>
      <c r="E13" t="str">
        <f>IFERROR(VLOOKUP(A13,'متابعة المشاريع'!$A$2:$E$1003,5,FALSE),"")</f>
        <v>قيد التنفيذ</v>
      </c>
    </row>
    <row r="14" spans="1:5" x14ac:dyDescent="0.3">
      <c r="A14" t="s">
        <v>75</v>
      </c>
      <c r="B14" t="s">
        <v>38</v>
      </c>
      <c r="C14" s="14">
        <f>IFERROR(VLOOKUP(A14,'متابعة المشاريع'!$A$2:$F$1003,6,FALSE),0)</f>
        <v>0</v>
      </c>
      <c r="D14" s="14">
        <f>IFERROR(VLOOKUP(B14,'متابعة المتطلبات'!$A$2:$K$47,11,FALSE),0)</f>
        <v>0</v>
      </c>
      <c r="E14" t="str">
        <f>IFERROR(VLOOKUP(A14,'متابعة المشاريع'!$A$2:$E$1003,5,FALSE),"")</f>
        <v>لم يبدأ</v>
      </c>
    </row>
    <row r="15" spans="1:5" x14ac:dyDescent="0.3">
      <c r="A15" t="s">
        <v>75</v>
      </c>
      <c r="B15" t="s">
        <v>419</v>
      </c>
      <c r="C15" s="14">
        <f>IFERROR(VLOOKUP(A15,'متابعة المشاريع'!$A$2:$F$1003,6,FALSE),0)</f>
        <v>0</v>
      </c>
      <c r="D15" s="14">
        <f>IFERROR(VLOOKUP(B15,'متابعة المتطلبات'!$A$2:$K$47,11,FALSE),0)</f>
        <v>0.375</v>
      </c>
      <c r="E15" t="str">
        <f>IFERROR(VLOOKUP(A15,'متابعة المشاريع'!$A$2:$E$1003,5,FALSE),"")</f>
        <v>لم يبدأ</v>
      </c>
    </row>
    <row r="16" spans="1:5" x14ac:dyDescent="0.3">
      <c r="A16" t="s">
        <v>76</v>
      </c>
      <c r="B16" t="s">
        <v>363</v>
      </c>
      <c r="C16" s="14">
        <f>IFERROR(VLOOKUP(A16,'متابعة المشاريع'!$A$2:$F$1003,6,FALSE),0)</f>
        <v>0.4</v>
      </c>
      <c r="D16" s="14">
        <f>IFERROR(VLOOKUP(B16,'متابعة المتطلبات'!$A$2:$K$47,11,FALSE),0)</f>
        <v>0.4</v>
      </c>
      <c r="E16" t="str">
        <f>IFERROR(VLOOKUP(A16,'متابعة المشاريع'!$A$2:$E$1003,5,FALSE),"")</f>
        <v>قيد التنفيذ</v>
      </c>
    </row>
    <row r="17" spans="1:5" x14ac:dyDescent="0.3">
      <c r="A17" t="s">
        <v>76</v>
      </c>
      <c r="B17" t="s">
        <v>374</v>
      </c>
      <c r="C17" s="14">
        <f>IFERROR(VLOOKUP(A17,'متابعة المشاريع'!$A$2:$F$1003,6,FALSE),0)</f>
        <v>0.4</v>
      </c>
      <c r="D17" s="14">
        <f>IFERROR(VLOOKUP(B17,'متابعة المتطلبات'!$A$2:$K$47,11,FALSE),0)</f>
        <v>0.4</v>
      </c>
      <c r="E17" t="str">
        <f>IFERROR(VLOOKUP(A17,'متابعة المشاريع'!$A$2:$E$1003,5,FALSE),"")</f>
        <v>قيد التنفيذ</v>
      </c>
    </row>
    <row r="18" spans="1:5" x14ac:dyDescent="0.3">
      <c r="A18" t="s">
        <v>73</v>
      </c>
      <c r="B18" t="s">
        <v>350</v>
      </c>
      <c r="C18" s="14">
        <f>IFERROR(VLOOKUP(A18,'متابعة المشاريع'!$A$2:$F$1003,6,FALSE),0)</f>
        <v>0.4</v>
      </c>
      <c r="D18" s="14">
        <f>IFERROR(VLOOKUP(B18,'متابعة المتطلبات'!$A$2:$K$47,11,FALSE),0)</f>
        <v>0.52500000000000002</v>
      </c>
      <c r="E18" t="str">
        <f>IFERROR(VLOOKUP(A18,'متابعة المشاريع'!$A$2:$E$1003,5,FALSE),"")</f>
        <v>قيد التنفيذ</v>
      </c>
    </row>
    <row r="19" spans="1:5" x14ac:dyDescent="0.3">
      <c r="A19" t="s">
        <v>73</v>
      </c>
      <c r="B19" t="s">
        <v>401</v>
      </c>
      <c r="C19" s="14">
        <f>IFERROR(VLOOKUP(A19,'متابعة المشاريع'!$A$2:$F$1003,6,FALSE),0)</f>
        <v>0.4</v>
      </c>
      <c r="D19" s="14">
        <f>IFERROR(VLOOKUP(B19,'متابعة المتطلبات'!$A$2:$K$47,11,FALSE),0)</f>
        <v>0.2</v>
      </c>
      <c r="E19" t="str">
        <f>IFERROR(VLOOKUP(A19,'متابعة المشاريع'!$A$2:$E$1003,5,FALSE),"")</f>
        <v>قيد التنفيذ</v>
      </c>
    </row>
    <row r="20" spans="1:5" x14ac:dyDescent="0.3">
      <c r="A20" t="s">
        <v>73</v>
      </c>
      <c r="B20" t="s">
        <v>448</v>
      </c>
      <c r="C20" s="14">
        <f>IFERROR(VLOOKUP(A20,'متابعة المشاريع'!$A$2:$F$1003,6,FALSE),0)</f>
        <v>0.4</v>
      </c>
      <c r="D20" s="14">
        <f>IFERROR(VLOOKUP(B20,'متابعة المتطلبات'!$A$2:$K$47,11,FALSE),0)</f>
        <v>0.4</v>
      </c>
      <c r="E20" t="str">
        <f>IFERROR(VLOOKUP(A20,'متابعة المشاريع'!$A$2:$E$1003,5,FALSE),"")</f>
        <v>قيد التنفيذ</v>
      </c>
    </row>
    <row r="21" spans="1:5" x14ac:dyDescent="0.3">
      <c r="A21" t="s">
        <v>73</v>
      </c>
      <c r="B21" t="s">
        <v>443</v>
      </c>
      <c r="C21" s="14">
        <f>IFERROR(VLOOKUP(A21,'متابعة المشاريع'!$A$2:$F$1003,6,FALSE),0)</f>
        <v>0.4</v>
      </c>
      <c r="D21" s="14">
        <f>IFERROR(VLOOKUP(B21,'متابعة المتطلبات'!$A$2:$K$47,11,FALSE),0)</f>
        <v>0.4</v>
      </c>
      <c r="E21" t="str">
        <f>IFERROR(VLOOKUP(A21,'متابعة المشاريع'!$A$2:$E$1003,5,FALSE),"")</f>
        <v>قيد التنفيذ</v>
      </c>
    </row>
    <row r="22" spans="1:5" x14ac:dyDescent="0.3">
      <c r="A22" t="s">
        <v>77</v>
      </c>
      <c r="B22" t="s">
        <v>40</v>
      </c>
      <c r="C22" s="14">
        <f>IFERROR(VLOOKUP(A22,'متابعة المشاريع'!$A$2:$F$1003,6,FALSE),0)</f>
        <v>0</v>
      </c>
      <c r="D22" s="14">
        <f>IFERROR(VLOOKUP(B22,'متابعة المتطلبات'!$A$2:$K$47,11,FALSE),0)</f>
        <v>0</v>
      </c>
      <c r="E22" t="str">
        <f>IFERROR(VLOOKUP(A22,'متابعة المشاريع'!$A$2:$E$1003,5,FALSE),"")</f>
        <v>لم يبدأ</v>
      </c>
    </row>
    <row r="23" spans="1:5" x14ac:dyDescent="0.3">
      <c r="A23" t="s">
        <v>77</v>
      </c>
      <c r="B23" t="s">
        <v>50</v>
      </c>
      <c r="C23" s="14">
        <f>IFERROR(VLOOKUP(A23,'متابعة المشاريع'!$A$2:$F$1003,6,FALSE),0)</f>
        <v>0</v>
      </c>
      <c r="D23" s="14">
        <f>IFERROR(VLOOKUP(B23,'متابعة المتطلبات'!$A$2:$K$47,11,FALSE),0)</f>
        <v>0</v>
      </c>
      <c r="E23" t="str">
        <f>IFERROR(VLOOKUP(A23,'متابعة المشاريع'!$A$2:$E$1003,5,FALSE),"")</f>
        <v>لم يبدأ</v>
      </c>
    </row>
    <row r="24" spans="1:5" x14ac:dyDescent="0.3">
      <c r="A24" t="s">
        <v>71</v>
      </c>
      <c r="B24" t="s">
        <v>56</v>
      </c>
      <c r="C24" s="14">
        <f>IFERROR(VLOOKUP(A24,'متابعة المشاريع'!$A$2:$F$1003,6,FALSE),0)</f>
        <v>0</v>
      </c>
      <c r="D24" s="14">
        <f>IFERROR(VLOOKUP(B24,'متابعة المتطلبات'!$A$2:$K$47,11,FALSE),0)</f>
        <v>0.125</v>
      </c>
      <c r="E24" t="str">
        <f>IFERROR(VLOOKUP(A24,'متابعة المشاريع'!$A$2:$E$1003,5,FALSE),"")</f>
        <v>لم يبدأ</v>
      </c>
    </row>
    <row r="25" spans="1:5" x14ac:dyDescent="0.3">
      <c r="A25" t="s">
        <v>71</v>
      </c>
      <c r="B25" t="s">
        <v>52</v>
      </c>
      <c r="C25" s="14">
        <f>IFERROR(VLOOKUP(A25,'متابعة المشاريع'!$A$2:$F$1003,6,FALSE),0)</f>
        <v>0</v>
      </c>
      <c r="D25" s="14">
        <f>IFERROR(VLOOKUP(B25,'متابعة المتطلبات'!$A$2:$K$47,11,FALSE),0)</f>
        <v>0.1</v>
      </c>
      <c r="E25" t="str">
        <f>IFERROR(VLOOKUP(A25,'متابعة المشاريع'!$A$2:$E$1003,5,FALSE),"")</f>
        <v>لم يبدأ</v>
      </c>
    </row>
    <row r="26" spans="1:5" x14ac:dyDescent="0.3">
      <c r="A26" t="s">
        <v>71</v>
      </c>
      <c r="B26" t="s">
        <v>54</v>
      </c>
      <c r="C26" s="14">
        <f>IFERROR(VLOOKUP(A26,'متابعة المشاريع'!$A$2:$F$1003,6,FALSE),0)</f>
        <v>0</v>
      </c>
      <c r="D26" s="14">
        <f>IFERROR(VLOOKUP(B26,'متابعة المتطلبات'!$A$2:$K$47,11,FALSE),0)</f>
        <v>0.1</v>
      </c>
      <c r="E26" t="str">
        <f>IFERROR(VLOOKUP(A26,'متابعة المشاريع'!$A$2:$E$1003,5,FALSE),"")</f>
        <v>لم يبدأ</v>
      </c>
    </row>
    <row r="27" spans="1:5" x14ac:dyDescent="0.3">
      <c r="A27" t="s">
        <v>81</v>
      </c>
      <c r="B27" t="s">
        <v>401</v>
      </c>
      <c r="C27" s="14">
        <f>IFERROR(VLOOKUP(A27,'متابعة المشاريع'!$A$2:$F$1003,6,FALSE),0)</f>
        <v>0</v>
      </c>
      <c r="D27" s="14">
        <f>IFERROR(VLOOKUP(B27,'متابعة المتطلبات'!$A$2:$K$47,11,FALSE),0)</f>
        <v>0.2</v>
      </c>
      <c r="E27" t="str">
        <f>IFERROR(VLOOKUP(A27,'متابعة المشاريع'!$A$2:$E$1003,5,FALSE),"")</f>
        <v>لم يبدأ</v>
      </c>
    </row>
    <row r="28" spans="1:5" x14ac:dyDescent="0.3">
      <c r="A28" t="s">
        <v>81</v>
      </c>
      <c r="B28" t="s">
        <v>321</v>
      </c>
      <c r="C28" s="14">
        <f>IFERROR(VLOOKUP(A28,'متابعة المشاريع'!$A$2:$F$1003,6,FALSE),0)</f>
        <v>0</v>
      </c>
      <c r="D28" s="14">
        <f>IFERROR(VLOOKUP(B28,'متابعة المتطلبات'!$A$2:$K$47,11,FALSE),0)</f>
        <v>0</v>
      </c>
      <c r="E28" t="str">
        <f>IFERROR(VLOOKUP(A28,'متابعة المشاريع'!$A$2:$E$1003,5,FALSE),"")</f>
        <v>لم يبدأ</v>
      </c>
    </row>
    <row r="29" spans="1:5" x14ac:dyDescent="0.3">
      <c r="A29" t="s">
        <v>78</v>
      </c>
      <c r="B29" t="s">
        <v>310</v>
      </c>
      <c r="C29" s="14">
        <f>IFERROR(VLOOKUP(A29,'متابعة المشاريع'!$A$2:$F$1003,6,FALSE),0)</f>
        <v>0.5</v>
      </c>
      <c r="D29" s="14">
        <f>IFERROR(VLOOKUP(B29,'متابعة المتطلبات'!$A$2:$K$47,11,FALSE),0)</f>
        <v>0.5</v>
      </c>
      <c r="E29" t="str">
        <f>IFERROR(VLOOKUP(A29,'متابعة المشاريع'!$A$2:$E$1003,5,FALSE),"")</f>
        <v>قيد التنفيذ</v>
      </c>
    </row>
    <row r="30" spans="1:5" x14ac:dyDescent="0.3">
      <c r="A30" t="s">
        <v>79</v>
      </c>
      <c r="B30" t="s">
        <v>290</v>
      </c>
      <c r="C30" s="14">
        <f>IFERROR(VLOOKUP(A30,'متابعة المشاريع'!$A$2:$F$1003,6,FALSE),0)</f>
        <v>0.5</v>
      </c>
      <c r="D30" s="14">
        <f>IFERROR(VLOOKUP(B30,'متابعة المتطلبات'!$A$2:$K$47,11,FALSE),0)</f>
        <v>0.25</v>
      </c>
      <c r="E30" t="str">
        <f>IFERROR(VLOOKUP(A30,'متابعة المشاريع'!$A$2:$E$1003,5,FALSE),"")</f>
        <v>قيد التنفيذ</v>
      </c>
    </row>
    <row r="31" spans="1:5" x14ac:dyDescent="0.3">
      <c r="A31" t="s">
        <v>79</v>
      </c>
      <c r="B31" t="s">
        <v>288</v>
      </c>
      <c r="C31" s="14">
        <f>IFERROR(VLOOKUP(A31,'متابعة المشاريع'!$A$2:$F$1003,6,FALSE),0)</f>
        <v>0.5</v>
      </c>
      <c r="D31" s="14">
        <f>IFERROR(VLOOKUP(B31,'متابعة المتطلبات'!$A$2:$K$47,11,FALSE),0)</f>
        <v>0.45</v>
      </c>
      <c r="E31" t="str">
        <f>IFERROR(VLOOKUP(A31,'متابعة المشاريع'!$A$2:$E$1003,5,FALSE),"")</f>
        <v>قيد التنفيذ</v>
      </c>
    </row>
    <row r="32" spans="1:5" x14ac:dyDescent="0.3">
      <c r="A32" t="s">
        <v>69</v>
      </c>
      <c r="B32" t="s">
        <v>44</v>
      </c>
      <c r="C32" s="14">
        <f>IFERROR(VLOOKUP(A32,'متابعة المشاريع'!$A$2:$F$1003,6,FALSE),0)</f>
        <v>0</v>
      </c>
      <c r="D32" s="14">
        <f>IFERROR(VLOOKUP(B32,'متابعة المتطلبات'!$A$2:$K$47,11,FALSE),0)</f>
        <v>0</v>
      </c>
      <c r="E32" t="str">
        <f>IFERROR(VLOOKUP(A32,'متابعة المشاريع'!$A$2:$E$1003,5,FALSE),"")</f>
        <v>لم يبدأ</v>
      </c>
    </row>
    <row r="33" spans="1:5" x14ac:dyDescent="0.3">
      <c r="A33" t="s">
        <v>69</v>
      </c>
      <c r="B33" t="s">
        <v>335</v>
      </c>
      <c r="C33" s="14">
        <f>IFERROR(VLOOKUP(A33,'متابعة المشاريع'!$A$2:$F$1003,6,FALSE),0)</f>
        <v>0</v>
      </c>
      <c r="D33" s="14">
        <f>IFERROR(VLOOKUP(B33,'متابعة المتطلبات'!$A$2:$K$47,11,FALSE),0)</f>
        <v>0.375</v>
      </c>
      <c r="E33" t="str">
        <f>IFERROR(VLOOKUP(A33,'متابعة المشاريع'!$A$2:$E$1003,5,FALSE),"")</f>
        <v>لم يبدأ</v>
      </c>
    </row>
    <row r="34" spans="1:5" x14ac:dyDescent="0.3">
      <c r="A34" t="s">
        <v>69</v>
      </c>
      <c r="B34" t="s">
        <v>406</v>
      </c>
      <c r="C34" s="14">
        <f>IFERROR(VLOOKUP(A34,'متابعة المشاريع'!$A$2:$F$1003,6,FALSE),0)</f>
        <v>0</v>
      </c>
      <c r="D34" s="14">
        <f>IFERROR(VLOOKUP(B34,'متابعة المتطلبات'!$A$2:$K$47,11,FALSE),0)</f>
        <v>0.35</v>
      </c>
      <c r="E34" t="str">
        <f>IFERROR(VLOOKUP(A34,'متابعة المشاريع'!$A$2:$E$1003,5,FALSE),"")</f>
        <v>لم يبدأ</v>
      </c>
    </row>
    <row r="35" spans="1:5" x14ac:dyDescent="0.3">
      <c r="A35" t="s">
        <v>69</v>
      </c>
      <c r="B35" t="s">
        <v>412</v>
      </c>
      <c r="C35" s="14">
        <f>IFERROR(VLOOKUP(A35,'متابعة المشاريع'!$A$2:$F$1003,6,FALSE),0)</f>
        <v>0</v>
      </c>
      <c r="D35" s="14">
        <f>IFERROR(VLOOKUP(B35,'متابعة المتطلبات'!$A$2:$K$47,11,FALSE),0)</f>
        <v>0.35</v>
      </c>
      <c r="E35" t="str">
        <f>IFERROR(VLOOKUP(A35,'متابعة المشاريع'!$A$2:$E$1003,5,FALSE),"")</f>
        <v>لم يبدأ</v>
      </c>
    </row>
    <row r="36" spans="1:5" x14ac:dyDescent="0.3">
      <c r="A36" t="s">
        <v>69</v>
      </c>
      <c r="B36" t="s">
        <v>38</v>
      </c>
      <c r="C36" s="14">
        <f>IFERROR(VLOOKUP(A36,'متابعة المشاريع'!$A$2:$F$1003,6,FALSE),0)</f>
        <v>0</v>
      </c>
      <c r="D36" s="14">
        <f>IFERROR(VLOOKUP(B36,'متابعة المتطلبات'!$A$2:$K$47,11,FALSE),0)</f>
        <v>0</v>
      </c>
      <c r="E36" t="str">
        <f>IFERROR(VLOOKUP(A36,'متابعة المشاريع'!$A$2:$E$1003,5,FALSE),"")</f>
        <v>لم يبدأ</v>
      </c>
    </row>
    <row r="37" spans="1:5" x14ac:dyDescent="0.3">
      <c r="A37" t="s">
        <v>69</v>
      </c>
      <c r="B37" t="s">
        <v>452</v>
      </c>
      <c r="C37" s="14">
        <f>IFERROR(VLOOKUP(A37,'متابعة المشاريع'!$A$2:$F$1003,6,FALSE),0)</f>
        <v>0</v>
      </c>
      <c r="D37" s="14">
        <f>IFERROR(VLOOKUP(B37,'متابعة المتطلبات'!$A$2:$K$47,11,FALSE),0)</f>
        <v>0.375</v>
      </c>
      <c r="E37" t="str">
        <f>IFERROR(VLOOKUP(A37,'متابعة المشاريع'!$A$2:$E$1003,5,FALSE),"")</f>
        <v>لم يبدأ</v>
      </c>
    </row>
    <row r="38" spans="1:5" x14ac:dyDescent="0.3">
      <c r="A38" t="s">
        <v>69</v>
      </c>
      <c r="B38" t="s">
        <v>477</v>
      </c>
      <c r="C38" s="14">
        <f>IFERROR(VLOOKUP(A38,'متابعة المشاريع'!$A$2:$F$1003,6,FALSE),0)</f>
        <v>0</v>
      </c>
      <c r="D38" s="14">
        <f>IFERROR(VLOOKUP(B38,'متابعة المتطلبات'!$A$2:$K$47,11,FALSE),0)</f>
        <v>0.375</v>
      </c>
      <c r="E38" t="str">
        <f>IFERROR(VLOOKUP(A38,'متابعة المشاريع'!$A$2:$E$1003,5,FALSE),"")</f>
        <v>لم يبدأ</v>
      </c>
    </row>
    <row r="39" spans="1:5" x14ac:dyDescent="0.3">
      <c r="A39" t="s">
        <v>69</v>
      </c>
      <c r="B39" t="s">
        <v>481</v>
      </c>
      <c r="C39" s="14">
        <f>IFERROR(VLOOKUP(A39,'متابعة المشاريع'!$A$2:$F$1003,6,FALSE),0)</f>
        <v>0</v>
      </c>
      <c r="D39" s="14">
        <f>IFERROR(VLOOKUP(B39,'متابعة المتطلبات'!$A$2:$K$47,11,FALSE),0)</f>
        <v>0.375</v>
      </c>
      <c r="E39" t="str">
        <f>IFERROR(VLOOKUP(A39,'متابعة المشاريع'!$A$2:$E$1003,5,FALSE),"")</f>
        <v>لم يبدأ</v>
      </c>
    </row>
    <row r="40" spans="1:5" x14ac:dyDescent="0.3">
      <c r="A40" t="s">
        <v>68</v>
      </c>
      <c r="B40" t="s">
        <v>378</v>
      </c>
      <c r="C40" s="14">
        <f>IFERROR(VLOOKUP(A40,'متابعة المشاريع'!$A$2:$F$1003,6,FALSE),0)</f>
        <v>0.2</v>
      </c>
      <c r="D40" s="14">
        <f>IFERROR(VLOOKUP(B40,'متابعة المتطلبات'!$A$2:$K$47,11,FALSE),0)</f>
        <v>0.42500000000000004</v>
      </c>
      <c r="E40" t="str">
        <f>IFERROR(VLOOKUP(A40,'متابعة المشاريع'!$A$2:$E$1003,5,FALSE),"")</f>
        <v>حسب المخطط</v>
      </c>
    </row>
    <row r="41" spans="1:5" x14ac:dyDescent="0.3">
      <c r="A41" t="s">
        <v>68</v>
      </c>
      <c r="B41" t="s">
        <v>474</v>
      </c>
      <c r="C41" s="14">
        <f>IFERROR(VLOOKUP(A41,'متابعة المشاريع'!$A$2:$F$1003,6,FALSE),0)</f>
        <v>0.2</v>
      </c>
      <c r="D41" s="14">
        <f>IFERROR(VLOOKUP(B41,'متابعة المتطلبات'!$A$2:$K$47,11,FALSE),0)</f>
        <v>0.2</v>
      </c>
      <c r="E41" t="str">
        <f>IFERROR(VLOOKUP(A41,'متابعة المشاريع'!$A$2:$E$1003,5,FALSE),"")</f>
        <v>حسب المخطط</v>
      </c>
    </row>
    <row r="42" spans="1:5" x14ac:dyDescent="0.3">
      <c r="A42" t="s">
        <v>68</v>
      </c>
      <c r="B42" t="s">
        <v>485</v>
      </c>
      <c r="C42" s="14">
        <f>IFERROR(VLOOKUP(A42,'متابعة المشاريع'!$A$2:$F$1003,6,FALSE),0)</f>
        <v>0.2</v>
      </c>
      <c r="D42" s="14">
        <f>IFERROR(VLOOKUP(B42,'متابعة المتطلبات'!$A$2:$K$47,11,FALSE),0)</f>
        <v>0.2</v>
      </c>
      <c r="E42" t="str">
        <f>IFERROR(VLOOKUP(A42,'متابعة المشاريع'!$A$2:$E$1003,5,FALSE),"")</f>
        <v>حسب المخطط</v>
      </c>
    </row>
    <row r="43" spans="1:5" x14ac:dyDescent="0.3">
      <c r="A43" t="s">
        <v>68</v>
      </c>
      <c r="B43" t="s">
        <v>490</v>
      </c>
      <c r="C43" s="14">
        <f>IFERROR(VLOOKUP(A43,'متابعة المشاريع'!$A$2:$F$1003,6,FALSE),0)</f>
        <v>0.2</v>
      </c>
      <c r="D43" s="14">
        <f>IFERROR(VLOOKUP(B43,'متابعة المتطلبات'!$A$2:$K$47,11,FALSE),0)</f>
        <v>0.44999999999999996</v>
      </c>
      <c r="E43" t="str">
        <f>IFERROR(VLOOKUP(A43,'متابعة المشاريع'!$A$2:$E$1003,5,FALSE),"")</f>
        <v>حسب المخطط</v>
      </c>
    </row>
    <row r="44" spans="1:5" x14ac:dyDescent="0.3">
      <c r="A44" t="s">
        <v>68</v>
      </c>
      <c r="B44" t="s">
        <v>354</v>
      </c>
      <c r="C44" s="14">
        <f>IFERROR(VLOOKUP(A44,'متابعة المشاريع'!$A$2:$F$1003,6,FALSE),0)</f>
        <v>0.2</v>
      </c>
      <c r="D44" s="14">
        <f>IFERROR(VLOOKUP(B44,'متابعة المتطلبات'!$A$2:$K$47,11,FALSE),0)</f>
        <v>0.2</v>
      </c>
      <c r="E44" t="str">
        <f>IFERROR(VLOOKUP(A44,'متابعة المشاريع'!$A$2:$E$1003,5,FALSE),"")</f>
        <v>حسب المخطط</v>
      </c>
    </row>
    <row r="45" spans="1:5" x14ac:dyDescent="0.3">
      <c r="A45" t="s">
        <v>68</v>
      </c>
      <c r="B45" t="s">
        <v>52</v>
      </c>
      <c r="C45" s="14">
        <f>IFERROR(VLOOKUP(A45,'متابعة المشاريع'!$A$2:$F$1003,6,FALSE),0)</f>
        <v>0.2</v>
      </c>
      <c r="D45" s="14">
        <f>IFERROR(VLOOKUP(B45,'متابعة المتطلبات'!$A$2:$K$47,11,FALSE),0)</f>
        <v>0.1</v>
      </c>
      <c r="E45" t="str">
        <f>IFERROR(VLOOKUP(A45,'متابعة المشاريع'!$A$2:$E$1003,5,FALSE),"")</f>
        <v>حسب المخطط</v>
      </c>
    </row>
    <row r="46" spans="1:5" x14ac:dyDescent="0.3">
      <c r="A46" t="s">
        <v>68</v>
      </c>
      <c r="B46" t="s">
        <v>435</v>
      </c>
      <c r="C46" s="14">
        <f>IFERROR(VLOOKUP(A46,'متابعة المشاريع'!$A$2:$F$1003,6,FALSE),0)</f>
        <v>0.2</v>
      </c>
      <c r="D46" s="14">
        <f>IFERROR(VLOOKUP(B46,'متابعة المتطلبات'!$A$2:$K$47,11,FALSE),0)</f>
        <v>0.47499999999999998</v>
      </c>
      <c r="E46" t="str">
        <f>IFERROR(VLOOKUP(A46,'متابعة المشاريع'!$A$2:$E$1003,5,FALSE),"")</f>
        <v>حسب المخطط</v>
      </c>
    </row>
    <row r="47" spans="1:5" x14ac:dyDescent="0.3">
      <c r="A47" t="s">
        <v>68</v>
      </c>
      <c r="B47" t="s">
        <v>54</v>
      </c>
      <c r="C47" s="14">
        <f>IFERROR(VLOOKUP(A47,'متابعة المشاريع'!$A$2:$F$1003,6,FALSE),0)</f>
        <v>0.2</v>
      </c>
      <c r="D47" s="14">
        <f>IFERROR(VLOOKUP(B47,'متابعة المتطلبات'!$A$2:$K$47,11,FALSE),0)</f>
        <v>0.1</v>
      </c>
      <c r="E47" t="str">
        <f>IFERROR(VLOOKUP(A47,'متابعة المشاريع'!$A$2:$E$1003,5,FALSE),"")</f>
        <v>حسب المخطط</v>
      </c>
    </row>
    <row r="48" spans="1:5" x14ac:dyDescent="0.3">
      <c r="A48" t="s">
        <v>68</v>
      </c>
      <c r="B48" t="s">
        <v>500</v>
      </c>
      <c r="C48" s="14">
        <f>IFERROR(VLOOKUP(A48,'متابعة المشاريع'!$A$2:$F$1003,6,FALSE),0)</f>
        <v>0.2</v>
      </c>
      <c r="D48" s="14">
        <f>IFERROR(VLOOKUP(B48,'متابعة المتطلبات'!$A$2:$K$47,11,FALSE),0)</f>
        <v>0.44999999999999996</v>
      </c>
      <c r="E48" t="str">
        <f>IFERROR(VLOOKUP(A48,'متابعة المشاريع'!$A$2:$E$1003,5,FALSE),"")</f>
        <v>حسب المخطط</v>
      </c>
    </row>
    <row r="49" spans="1:5" x14ac:dyDescent="0.3">
      <c r="A49" t="s">
        <v>72</v>
      </c>
      <c r="B49" t="s">
        <v>461</v>
      </c>
      <c r="C49" s="14">
        <f>IFERROR(VLOOKUP(A49,'متابعة المشاريع'!$A$2:$F$1003,6,FALSE),0)</f>
        <v>0.45</v>
      </c>
      <c r="D49" s="14">
        <f>IFERROR(VLOOKUP(B49,'متابعة المتطلبات'!$A$2:$K$47,11,FALSE),0)</f>
        <v>0.45</v>
      </c>
      <c r="E49" t="str">
        <f>IFERROR(VLOOKUP(A49,'متابعة المشاريع'!$A$2:$E$1003,5,FALSE),"")</f>
        <v>قيد التنفيذ</v>
      </c>
    </row>
    <row r="50" spans="1:5" x14ac:dyDescent="0.3">
      <c r="A50" t="s">
        <v>72</v>
      </c>
      <c r="B50" t="s">
        <v>467</v>
      </c>
      <c r="C50" s="14">
        <f>IFERROR(VLOOKUP(A50,'متابعة المشاريع'!$A$2:$F$1003,6,FALSE),0)</f>
        <v>0.45</v>
      </c>
      <c r="D50" s="14">
        <f>IFERROR(VLOOKUP(B50,'متابعة المتطلبات'!$A$2:$K$47,11,FALSE),0)</f>
        <v>0.45</v>
      </c>
      <c r="E50" t="str">
        <f>IFERROR(VLOOKUP(A50,'متابعة المشاريع'!$A$2:$E$1003,5,FALSE),"")</f>
        <v>قيد التنفيذ</v>
      </c>
    </row>
    <row r="51" spans="1:5" x14ac:dyDescent="0.3">
      <c r="A51" t="s">
        <v>72</v>
      </c>
      <c r="B51" t="s">
        <v>512</v>
      </c>
      <c r="C51" s="14">
        <f>IFERROR(VLOOKUP(A51,'متابعة المشاريع'!$A$2:$F$1003,6,FALSE),0)</f>
        <v>0.45</v>
      </c>
      <c r="D51" s="14">
        <f>IFERROR(VLOOKUP(B51,'متابعة المتطلبات'!$A$2:$K$47,11,FALSE),0)</f>
        <v>0.45</v>
      </c>
      <c r="E51" t="str">
        <f>IFERROR(VLOOKUP(A51,'متابعة المشاريع'!$A$2:$E$1003,5,FALSE),"")</f>
        <v>قيد التنفيذ</v>
      </c>
    </row>
    <row r="52" spans="1:5" x14ac:dyDescent="0.3">
      <c r="A52" t="s">
        <v>215</v>
      </c>
      <c r="B52" t="s">
        <v>295</v>
      </c>
      <c r="C52" s="14">
        <f>IFERROR(VLOOKUP(A52,'متابعة المشاريع'!$A$2:$F$1003,6,FALSE),0)</f>
        <v>0.53310000000000002</v>
      </c>
      <c r="D52" s="14">
        <f>IFERROR(VLOOKUP(B52,'متابعة المتطلبات'!$A$2:$K$47,11,FALSE),0)</f>
        <v>0.44155</v>
      </c>
      <c r="E52" t="str">
        <f>IFERROR(VLOOKUP(A52,'متابعة المشاريع'!$A$2:$E$1003,5,FALSE),"")</f>
        <v>حسب المخطط</v>
      </c>
    </row>
    <row r="53" spans="1:5" x14ac:dyDescent="0.3">
      <c r="A53" t="s">
        <v>74</v>
      </c>
      <c r="B53" t="s">
        <v>350</v>
      </c>
      <c r="C53" s="14">
        <f>IFERROR(VLOOKUP(A53,'متابعة المشاريع'!$A$2:$F$1003,6,FALSE),0)</f>
        <v>0.65</v>
      </c>
      <c r="D53" s="14">
        <f>IFERROR(VLOOKUP(B53,'متابعة المتطلبات'!$A$2:$K$47,11,FALSE),0)</f>
        <v>0.52500000000000002</v>
      </c>
      <c r="E53" t="str">
        <f>IFERROR(VLOOKUP(A53,'متابعة المشاريع'!$A$2:$E$1003,5,FALSE),"")</f>
        <v>قيد التنفيذ</v>
      </c>
    </row>
    <row r="54" spans="1:5" x14ac:dyDescent="0.3">
      <c r="A54" t="s">
        <v>74</v>
      </c>
      <c r="B54" t="s">
        <v>378</v>
      </c>
      <c r="C54" s="14">
        <f>IFERROR(VLOOKUP(A54,'متابعة المشاريع'!$A$2:$F$1003,6,FALSE),0)</f>
        <v>0.65</v>
      </c>
      <c r="D54" s="14">
        <f>IFERROR(VLOOKUP(B54,'متابعة المتطلبات'!$A$2:$K$47,11,FALSE),0)</f>
        <v>0.42500000000000004</v>
      </c>
      <c r="E54" t="str">
        <f>IFERROR(VLOOKUP(A54,'متابعة المشاريع'!$A$2:$E$1003,5,FALSE),"")</f>
        <v>قيد التنفيذ</v>
      </c>
    </row>
    <row r="55" spans="1:5" x14ac:dyDescent="0.3">
      <c r="A55" t="s">
        <v>222</v>
      </c>
      <c r="B55" t="s">
        <v>321</v>
      </c>
      <c r="C55" s="14">
        <f>IFERROR(VLOOKUP(A55,'متابعة المشاريع'!$A$2:$F$1003,6,FALSE),0)</f>
        <v>0.65</v>
      </c>
      <c r="D55" s="14">
        <f>IFERROR(VLOOKUP(B55,'متابعة المتطلبات'!$A$2:$K$47,11,FALSE),0)</f>
        <v>0</v>
      </c>
      <c r="E55" t="str">
        <f>IFERROR(VLOOKUP(A55,'متابعة المشاريع'!$A$2:$E$1003,5,FALSE),"")</f>
        <v>قيد التنفيذ</v>
      </c>
    </row>
    <row r="56" spans="1:5" x14ac:dyDescent="0.3">
      <c r="A56" t="s">
        <v>67</v>
      </c>
      <c r="B56" t="s">
        <v>335</v>
      </c>
      <c r="C56" s="14">
        <f>IFERROR(VLOOKUP(A56,'متابعة المشاريع'!$A$2:$F$1003,6,FALSE),0)</f>
        <v>0.75</v>
      </c>
      <c r="D56" s="14">
        <f>IFERROR(VLOOKUP(B56,'متابعة المتطلبات'!$A$2:$K$47,11,FALSE),0)</f>
        <v>0.375</v>
      </c>
      <c r="E56" t="str">
        <f>IFERROR(VLOOKUP(A56,'متابعة المشاريع'!$A$2:$E$1003,5,FALSE),"")</f>
        <v>قيد التنفيذ</v>
      </c>
    </row>
    <row r="57" spans="1:5" x14ac:dyDescent="0.3">
      <c r="A57" t="s">
        <v>67</v>
      </c>
      <c r="B57" t="s">
        <v>419</v>
      </c>
      <c r="C57" s="14">
        <f>IFERROR(VLOOKUP(A57,'متابعة المشاريع'!$A$2:$F$1003,6,FALSE),0)</f>
        <v>0.75</v>
      </c>
      <c r="D57" s="14">
        <f>IFERROR(VLOOKUP(B57,'متابعة المتطلبات'!$A$2:$K$47,11,FALSE),0)</f>
        <v>0.375</v>
      </c>
      <c r="E57" t="str">
        <f>IFERROR(VLOOKUP(A57,'متابعة المشاريع'!$A$2:$E$1003,5,FALSE),"")</f>
        <v>قيد التنفيذ</v>
      </c>
    </row>
    <row r="58" spans="1:5" x14ac:dyDescent="0.3">
      <c r="A58" t="s">
        <v>67</v>
      </c>
      <c r="B58" t="s">
        <v>427</v>
      </c>
      <c r="C58" s="14">
        <f>IFERROR(VLOOKUP(A58,'متابعة المشاريع'!$A$2:$F$1003,6,FALSE),0)</f>
        <v>0.75</v>
      </c>
      <c r="D58" s="14">
        <f>IFERROR(VLOOKUP(B58,'متابعة المتطلبات'!$A$2:$K$47,11,FALSE),0)</f>
        <v>0.75</v>
      </c>
      <c r="E58" t="str">
        <f>IFERROR(VLOOKUP(A58,'متابعة المشاريع'!$A$2:$E$1003,5,FALSE),"")</f>
        <v>قيد التنفيذ</v>
      </c>
    </row>
    <row r="59" spans="1:5" x14ac:dyDescent="0.3">
      <c r="A59" t="s">
        <v>67</v>
      </c>
      <c r="B59" t="s">
        <v>435</v>
      </c>
      <c r="C59" s="14">
        <f>IFERROR(VLOOKUP(A59,'متابعة المشاريع'!$A$2:$F$1003,6,FALSE),0)</f>
        <v>0.75</v>
      </c>
      <c r="D59" s="14">
        <f>IFERROR(VLOOKUP(B59,'متابعة المتطلبات'!$A$2:$K$47,11,FALSE),0)</f>
        <v>0.47499999999999998</v>
      </c>
      <c r="E59" t="str">
        <f>IFERROR(VLOOKUP(A59,'متابعة المشاريع'!$A$2:$E$1003,5,FALSE),"")</f>
        <v>قيد التنفيذ</v>
      </c>
    </row>
    <row r="60" spans="1:5" x14ac:dyDescent="0.3">
      <c r="A60" t="s">
        <v>67</v>
      </c>
      <c r="B60" t="s">
        <v>440</v>
      </c>
      <c r="C60" s="14">
        <f>IFERROR(VLOOKUP(A60,'متابعة المشاريع'!$A$2:$F$1003,6,FALSE),0)</f>
        <v>0.75</v>
      </c>
      <c r="D60" s="14">
        <f>IFERROR(VLOOKUP(B60,'متابعة المتطلبات'!$A$2:$K$47,11,FALSE),0)</f>
        <v>0.75</v>
      </c>
      <c r="E60" t="str">
        <f>IFERROR(VLOOKUP(A60,'متابعة المشاريع'!$A$2:$E$1003,5,FALSE),"")</f>
        <v>قيد التنفيذ</v>
      </c>
    </row>
    <row r="61" spans="1:5" x14ac:dyDescent="0.3">
      <c r="A61" t="s">
        <v>67</v>
      </c>
      <c r="B61" t="s">
        <v>452</v>
      </c>
      <c r="C61" s="14">
        <f>IFERROR(VLOOKUP(A61,'متابعة المشاريع'!$A$2:$F$1003,6,FALSE),0)</f>
        <v>0.75</v>
      </c>
      <c r="D61" s="14">
        <f>IFERROR(VLOOKUP(B61,'متابعة المتطلبات'!$A$2:$K$47,11,FALSE),0)</f>
        <v>0.375</v>
      </c>
      <c r="E61" t="str">
        <f>IFERROR(VLOOKUP(A61,'متابعة المشاريع'!$A$2:$E$1003,5,FALSE),"")</f>
        <v>قيد التنفيذ</v>
      </c>
    </row>
    <row r="62" spans="1:5" x14ac:dyDescent="0.3">
      <c r="A62" t="s">
        <v>67</v>
      </c>
      <c r="B62" t="s">
        <v>456</v>
      </c>
      <c r="C62" s="14">
        <f>IFERROR(VLOOKUP(A62,'متابعة المشاريع'!$A$2:$F$1003,6,FALSE),0)</f>
        <v>0.75</v>
      </c>
      <c r="D62" s="14">
        <f>IFERROR(VLOOKUP(B62,'متابعة المتطلبات'!$A$2:$K$47,11,FALSE),0)</f>
        <v>0.75</v>
      </c>
      <c r="E62" t="str">
        <f>IFERROR(VLOOKUP(A62,'متابعة المشاريع'!$A$2:$E$1003,5,FALSE),"")</f>
        <v>قيد التنفيذ</v>
      </c>
    </row>
    <row r="63" spans="1:5" x14ac:dyDescent="0.3">
      <c r="A63" t="s">
        <v>67</v>
      </c>
      <c r="B63" t="s">
        <v>477</v>
      </c>
      <c r="C63" s="14">
        <f>IFERROR(VLOOKUP(A63,'متابعة المشاريع'!$A$2:$F$1003,6,FALSE),0)</f>
        <v>0.75</v>
      </c>
      <c r="D63" s="14">
        <f>IFERROR(VLOOKUP(B63,'متابعة المتطلبات'!$A$2:$K$47,11,FALSE),0)</f>
        <v>0.375</v>
      </c>
      <c r="E63" t="str">
        <f>IFERROR(VLOOKUP(A63,'متابعة المشاريع'!$A$2:$E$1003,5,FALSE),"")</f>
        <v>قيد التنفيذ</v>
      </c>
    </row>
    <row r="64" spans="1:5" x14ac:dyDescent="0.3">
      <c r="A64" t="s">
        <v>67</v>
      </c>
      <c r="B64" t="s">
        <v>481</v>
      </c>
      <c r="C64" s="14">
        <f>IFERROR(VLOOKUP(A64,'متابعة المشاريع'!$A$2:$F$1003,6,FALSE),0)</f>
        <v>0.75</v>
      </c>
      <c r="D64" s="14">
        <f>IFERROR(VLOOKUP(B64,'متابعة المتطلبات'!$A$2:$K$47,11,FALSE),0)</f>
        <v>0.375</v>
      </c>
      <c r="E64" t="str">
        <f>IFERROR(VLOOKUP(A64,'متابعة المشاريع'!$A$2:$E$1003,5,FALSE),"")</f>
        <v>قيد التنفيذ</v>
      </c>
    </row>
    <row r="65" spans="1:5" x14ac:dyDescent="0.3">
      <c r="A65" t="s">
        <v>67</v>
      </c>
      <c r="B65" t="s">
        <v>508</v>
      </c>
      <c r="C65" s="14">
        <f>IFERROR(VLOOKUP(A65,'متابعة المشاريع'!$A$2:$F$1003,6,FALSE),0)</f>
        <v>0.75</v>
      </c>
      <c r="D65" s="14">
        <f>IFERROR(VLOOKUP(B65,'متابعة المتطلبات'!$A$2:$K$47,11,FALSE),0)</f>
        <v>0.75</v>
      </c>
      <c r="E65" t="str">
        <f>IFERROR(VLOOKUP(A65,'متابعة المشاريع'!$A$2:$E$1003,5,FALSE),"")</f>
        <v>قيد التنفيذ</v>
      </c>
    </row>
    <row r="66" spans="1:5" x14ac:dyDescent="0.3">
      <c r="A66" t="s">
        <v>235</v>
      </c>
      <c r="B66" t="s">
        <v>324</v>
      </c>
      <c r="C66" s="14">
        <f>IFERROR(VLOOKUP(A66,'متابعة المشاريع'!$A$2:$F$1003,6,FALSE),0)</f>
        <v>0</v>
      </c>
      <c r="D66" s="14">
        <f>IFERROR(VLOOKUP(B66,'متابعة المتطلبات'!$A$2:$K$47,11,FALSE),0)</f>
        <v>0.2</v>
      </c>
      <c r="E66" t="str">
        <f>IFERROR(VLOOKUP(A66,'متابعة المشاريع'!$A$2:$E$1003,5,FALSE),"")</f>
        <v>لم يبدأ</v>
      </c>
    </row>
    <row r="67" spans="1:5" x14ac:dyDescent="0.3">
      <c r="A67" t="s">
        <v>237</v>
      </c>
      <c r="B67" t="s">
        <v>324</v>
      </c>
      <c r="C67" s="14">
        <f>IFERROR(VLOOKUP(A67,'متابعة المشاريع'!$A$2:$F$1003,6,FALSE),0)</f>
        <v>0.4</v>
      </c>
      <c r="D67" s="14">
        <f>IFERROR(VLOOKUP(B67,'متابعة المتطلبات'!$A$2:$K$47,11,FALSE),0)</f>
        <v>0.2</v>
      </c>
      <c r="E67" t="str">
        <f>IFERROR(VLOOKUP(A67,'متابعة المشاريع'!$A$2:$E$1003,5,FALSE),"")</f>
        <v>قيد التنفيذ</v>
      </c>
    </row>
    <row r="68" spans="1:5" x14ac:dyDescent="0.3">
      <c r="A68" t="s">
        <v>239</v>
      </c>
      <c r="B68" t="s">
        <v>46</v>
      </c>
      <c r="C68" s="14">
        <f>IFERROR(VLOOKUP(A68,'متابعة المشاريع'!$A$2:$F$1003,6,FALSE),0)</f>
        <v>0</v>
      </c>
      <c r="D68" s="14">
        <f>IFERROR(VLOOKUP(B68,'متابعة المتطلبات'!$A$2:$K$47,11,FALSE),0)</f>
        <v>0</v>
      </c>
      <c r="E68" t="str">
        <f>IFERROR(VLOOKUP(A68,'متابعة المشاريع'!$A$2:$E$1003,5,FALSE),"")</f>
        <v>لم يبدأ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2"/>
  <sheetViews>
    <sheetView rightToLeft="1" workbookViewId="0">
      <selection activeCell="I11" sqref="I11"/>
    </sheetView>
  </sheetViews>
  <sheetFormatPr defaultRowHeight="14.4" x14ac:dyDescent="0.3"/>
  <cols>
    <col min="1" max="1" width="17" customWidth="1"/>
    <col min="2" max="2" width="16" customWidth="1"/>
    <col min="3" max="3" width="38" customWidth="1"/>
  </cols>
  <sheetData>
    <row r="1" spans="1:4" x14ac:dyDescent="0.3">
      <c r="A1" s="15" t="s">
        <v>631</v>
      </c>
      <c r="B1" s="15" t="s">
        <v>7</v>
      </c>
      <c r="C1" s="15" t="s">
        <v>632</v>
      </c>
      <c r="D1" t="s">
        <v>634</v>
      </c>
    </row>
    <row r="2" spans="1:4" x14ac:dyDescent="0.3">
      <c r="A2" t="s">
        <v>108</v>
      </c>
      <c r="B2" t="s">
        <v>173</v>
      </c>
      <c r="C2" s="14">
        <f>IFERROR(VLOOKUP(A2,'متابعة المشاريع'!$A$2:$F$1003,6,FALSE),0)</f>
        <v>0.25</v>
      </c>
      <c r="D2" t="str">
        <f>IFERROR(VLOOKUP(A2,'متابعة المشاريع'!$A$2:$E$1003,5,FALSE),"")</f>
        <v>قيد التنفيذ</v>
      </c>
    </row>
    <row r="3" spans="1:4" x14ac:dyDescent="0.3">
      <c r="A3" t="s">
        <v>108</v>
      </c>
      <c r="B3" t="s">
        <v>211</v>
      </c>
      <c r="C3" s="14">
        <f>IFERROR(VLOOKUP(A3,'متابعة المشاريع'!$A$2:$F$1003,6,FALSE),0)</f>
        <v>0.25</v>
      </c>
      <c r="D3" t="str">
        <f>IFERROR(VLOOKUP(A3,'متابعة المشاريع'!$A$2:$E$1003,5,FALSE),"")</f>
        <v>قيد التنفيذ</v>
      </c>
    </row>
    <row r="4" spans="1:4" x14ac:dyDescent="0.3">
      <c r="A4" t="s">
        <v>70</v>
      </c>
      <c r="B4" t="s">
        <v>247</v>
      </c>
      <c r="C4" s="14">
        <f>IFERROR(VLOOKUP(A4,'متابعة المشاريع'!$A$2:$F$1003,6,FALSE),0)</f>
        <v>0.7</v>
      </c>
      <c r="D4" t="str">
        <f>IFERROR(VLOOKUP(A4,'متابعة المشاريع'!$A$2:$E$1003,5,FALSE),"")</f>
        <v>قيد التنفيذ</v>
      </c>
    </row>
    <row r="5" spans="1:4" x14ac:dyDescent="0.3">
      <c r="A5" t="s">
        <v>70</v>
      </c>
      <c r="B5" t="s">
        <v>161</v>
      </c>
      <c r="C5" s="14">
        <f>IFERROR(VLOOKUP(A5,'متابعة المشاريع'!$A$2:$F$1003,6,FALSE),0)</f>
        <v>0.7</v>
      </c>
      <c r="D5" t="str">
        <f>IFERROR(VLOOKUP(A5,'متابعة المشاريع'!$A$2:$E$1003,5,FALSE),"")</f>
        <v>قيد التنفيذ</v>
      </c>
    </row>
    <row r="6" spans="1:4" x14ac:dyDescent="0.3">
      <c r="A6" t="s">
        <v>70</v>
      </c>
      <c r="B6" t="s">
        <v>165</v>
      </c>
      <c r="C6" s="14">
        <f>IFERROR(VLOOKUP(A6,'متابعة المشاريع'!$A$2:$F$1003,6,FALSE),0)</f>
        <v>0.7</v>
      </c>
      <c r="D6" t="str">
        <f>IFERROR(VLOOKUP(A6,'متابعة المشاريع'!$A$2:$E$1003,5,FALSE),"")</f>
        <v>قيد التنفيذ</v>
      </c>
    </row>
    <row r="7" spans="1:4" x14ac:dyDescent="0.3">
      <c r="A7" t="s">
        <v>70</v>
      </c>
      <c r="B7" t="s">
        <v>167</v>
      </c>
      <c r="C7" s="14">
        <f>IFERROR(VLOOKUP(A7,'متابعة المشاريع'!$A$2:$F$1003,6,FALSE),0)</f>
        <v>0.7</v>
      </c>
      <c r="D7" t="str">
        <f>IFERROR(VLOOKUP(A7,'متابعة المشاريع'!$A$2:$E$1003,5,FALSE),"")</f>
        <v>قيد التنفيذ</v>
      </c>
    </row>
    <row r="8" spans="1:4" x14ac:dyDescent="0.3">
      <c r="A8" t="s">
        <v>70</v>
      </c>
      <c r="B8" t="s">
        <v>182</v>
      </c>
      <c r="C8" s="14">
        <f>IFERROR(VLOOKUP(A8,'متابعة المشاريع'!$A$2:$F$1003,6,FALSE),0)</f>
        <v>0.7</v>
      </c>
      <c r="D8" t="str">
        <f>IFERROR(VLOOKUP(A8,'متابعة المشاريع'!$A$2:$E$1003,5,FALSE),"")</f>
        <v>قيد التنفيذ</v>
      </c>
    </row>
    <row r="9" spans="1:4" x14ac:dyDescent="0.3">
      <c r="A9" t="s">
        <v>70</v>
      </c>
      <c r="B9" t="s">
        <v>635</v>
      </c>
      <c r="C9" s="14">
        <f>IFERROR(VLOOKUP(A9,'متابعة المشاريع'!$A$2:$F$1003,6,FALSE),0)</f>
        <v>0.7</v>
      </c>
      <c r="D9" t="str">
        <f>IFERROR(VLOOKUP(A9,'متابعة المشاريع'!$A$2:$E$1003,5,FALSE),"")</f>
        <v>قيد التنفيذ</v>
      </c>
    </row>
    <row r="10" spans="1:4" x14ac:dyDescent="0.3">
      <c r="A10" t="s">
        <v>70</v>
      </c>
      <c r="B10" t="s">
        <v>636</v>
      </c>
      <c r="C10" s="14">
        <f>IFERROR(VLOOKUP(A10,'متابعة المشاريع'!$A$2:$F$1003,6,FALSE),0)</f>
        <v>0.7</v>
      </c>
      <c r="D10" t="str">
        <f>IFERROR(VLOOKUP(A10,'متابعة المشاريع'!$A$2:$E$1003,5,FALSE),"")</f>
        <v>قيد التنفيذ</v>
      </c>
    </row>
    <row r="11" spans="1:4" x14ac:dyDescent="0.3">
      <c r="A11" t="s">
        <v>139</v>
      </c>
      <c r="B11" t="s">
        <v>260</v>
      </c>
      <c r="C11" s="14">
        <f>IFERROR(VLOOKUP(A11,'متابعة المشاريع'!$A$2:$F$1003,6,FALSE),0)</f>
        <v>0.55000000000000004</v>
      </c>
      <c r="D11" t="str">
        <f>IFERROR(VLOOKUP(A11,'متابعة المشاريع'!$A$2:$E$1003,5,FALSE),"")</f>
        <v>قيد التنفيذ</v>
      </c>
    </row>
    <row r="12" spans="1:4" x14ac:dyDescent="0.3">
      <c r="A12" t="s">
        <v>150</v>
      </c>
      <c r="B12" t="s">
        <v>264</v>
      </c>
      <c r="C12" s="14">
        <f>IFERROR(VLOOKUP(A12,'متابعة المشاريع'!$A$2:$F$1003,6,FALSE),0)</f>
        <v>0.4</v>
      </c>
      <c r="D12" t="str">
        <f>IFERROR(VLOOKUP(A12,'متابعة المشاريع'!$A$2:$E$1003,5,FALSE),"")</f>
        <v>قيد التنفيذ</v>
      </c>
    </row>
    <row r="13" spans="1:4" x14ac:dyDescent="0.3">
      <c r="A13" t="s">
        <v>150</v>
      </c>
      <c r="B13" t="s">
        <v>267</v>
      </c>
      <c r="C13" s="14">
        <f>IFERROR(VLOOKUP(A13,'متابعة المشاريع'!$A$2:$F$1003,6,FALSE),0)</f>
        <v>0.4</v>
      </c>
      <c r="D13" t="str">
        <f>IFERROR(VLOOKUP(A13,'متابعة المشاريع'!$A$2:$E$1003,5,FALSE),"")</f>
        <v>قيد التنفيذ</v>
      </c>
    </row>
    <row r="14" spans="1:4" x14ac:dyDescent="0.3">
      <c r="A14" t="s">
        <v>158</v>
      </c>
      <c r="B14" t="s">
        <v>261</v>
      </c>
      <c r="C14" s="14">
        <f>IFERROR(VLOOKUP(A14,'متابعة المشاريع'!$A$2:$F$1003,6,FALSE),0)</f>
        <v>0</v>
      </c>
      <c r="D14" t="str">
        <f>IFERROR(VLOOKUP(A14,'متابعة المشاريع'!$A$2:$E$1003,5,FALSE),"")</f>
        <v>لم يبدأ</v>
      </c>
    </row>
    <row r="15" spans="1:4" x14ac:dyDescent="0.3">
      <c r="A15" t="s">
        <v>158</v>
      </c>
      <c r="B15" t="s">
        <v>264</v>
      </c>
      <c r="C15" s="14">
        <f>IFERROR(VLOOKUP(A15,'متابعة المشاريع'!$A$2:$F$1003,6,FALSE),0)</f>
        <v>0</v>
      </c>
      <c r="D15" t="str">
        <f>IFERROR(VLOOKUP(A15,'متابعة المشاريع'!$A$2:$E$1003,5,FALSE),"")</f>
        <v>لم يبدأ</v>
      </c>
    </row>
    <row r="16" spans="1:4" x14ac:dyDescent="0.3">
      <c r="A16" t="s">
        <v>80</v>
      </c>
      <c r="B16" t="s">
        <v>249</v>
      </c>
      <c r="C16" s="14">
        <f>IFERROR(VLOOKUP(A16,'متابعة المشاريع'!$A$2:$F$1003,6,FALSE),0)</f>
        <v>0.45</v>
      </c>
      <c r="D16" t="str">
        <f>IFERROR(VLOOKUP(A16,'متابعة المشاريع'!$A$2:$E$1003,5,FALSE),"")</f>
        <v>حسب المخطط</v>
      </c>
    </row>
    <row r="17" spans="1:4" x14ac:dyDescent="0.3">
      <c r="A17" t="s">
        <v>80</v>
      </c>
      <c r="B17" t="s">
        <v>207</v>
      </c>
      <c r="C17" s="14">
        <f>IFERROR(VLOOKUP(A17,'متابعة المشاريع'!$A$2:$F$1003,6,FALSE),0)</f>
        <v>0.45</v>
      </c>
      <c r="D17" t="str">
        <f>IFERROR(VLOOKUP(A17,'متابعة المشاريع'!$A$2:$E$1003,5,FALSE),"")</f>
        <v>حسب المخطط</v>
      </c>
    </row>
    <row r="18" spans="1:4" x14ac:dyDescent="0.3">
      <c r="A18" t="s">
        <v>80</v>
      </c>
      <c r="B18" t="s">
        <v>255</v>
      </c>
      <c r="C18" s="14">
        <f>IFERROR(VLOOKUP(A18,'متابعة المشاريع'!$A$2:$F$1003,6,FALSE),0)</f>
        <v>0.45</v>
      </c>
      <c r="D18" t="str">
        <f>IFERROR(VLOOKUP(A18,'متابعة المشاريع'!$A$2:$E$1003,5,FALSE),"")</f>
        <v>حسب المخطط</v>
      </c>
    </row>
    <row r="19" spans="1:4" x14ac:dyDescent="0.3">
      <c r="A19" t="s">
        <v>179</v>
      </c>
      <c r="B19" t="s">
        <v>251</v>
      </c>
      <c r="C19" s="14">
        <f>IFERROR(VLOOKUP(A19,'متابعة المشاريع'!$A$2:$F$1003,6,FALSE),0)</f>
        <v>0.35</v>
      </c>
      <c r="D19" t="str">
        <f>IFERROR(VLOOKUP(A19,'متابعة المشاريع'!$A$2:$E$1003,5,FALSE),"")</f>
        <v>قيد التنفيذ</v>
      </c>
    </row>
    <row r="20" spans="1:4" x14ac:dyDescent="0.3">
      <c r="A20" t="s">
        <v>179</v>
      </c>
      <c r="B20" t="s">
        <v>107</v>
      </c>
      <c r="C20" s="14">
        <f>IFERROR(VLOOKUP(A20,'متابعة المشاريع'!$A$2:$F$1003,6,FALSE),0)</f>
        <v>0.35</v>
      </c>
      <c r="D20" t="str">
        <f>IFERROR(VLOOKUP(A20,'متابعة المشاريع'!$A$2:$E$1003,5,FALSE),"")</f>
        <v>قيد التنفيذ</v>
      </c>
    </row>
    <row r="21" spans="1:4" x14ac:dyDescent="0.3">
      <c r="A21" t="s">
        <v>75</v>
      </c>
      <c r="B21" t="s">
        <v>161</v>
      </c>
      <c r="C21" s="14">
        <f>IFERROR(VLOOKUP(A21,'متابعة المشاريع'!$A$2:$F$1003,6,FALSE),0)</f>
        <v>0</v>
      </c>
      <c r="D21" t="str">
        <f>IFERROR(VLOOKUP(A21,'متابعة المشاريع'!$A$2:$E$1003,5,FALSE),"")</f>
        <v>لم يبدأ</v>
      </c>
    </row>
    <row r="22" spans="1:4" x14ac:dyDescent="0.3">
      <c r="A22" t="s">
        <v>75</v>
      </c>
      <c r="B22" t="s">
        <v>171</v>
      </c>
      <c r="C22" s="14">
        <f>IFERROR(VLOOKUP(A22,'متابعة المشاريع'!$A$2:$F$1003,6,FALSE),0)</f>
        <v>0</v>
      </c>
      <c r="D22" t="str">
        <f>IFERROR(VLOOKUP(A22,'متابعة المشاريع'!$A$2:$E$1003,5,FALSE),"")</f>
        <v>لم يبدأ</v>
      </c>
    </row>
    <row r="23" spans="1:4" x14ac:dyDescent="0.3">
      <c r="A23" t="s">
        <v>75</v>
      </c>
      <c r="B23" t="s">
        <v>637</v>
      </c>
      <c r="C23" s="14">
        <f>IFERROR(VLOOKUP(A23,'متابعة المشاريع'!$A$2:$F$1003,6,FALSE),0)</f>
        <v>0</v>
      </c>
      <c r="D23" t="str">
        <f>IFERROR(VLOOKUP(A23,'متابعة المشاريع'!$A$2:$E$1003,5,FALSE),"")</f>
        <v>لم يبدأ</v>
      </c>
    </row>
    <row r="24" spans="1:4" x14ac:dyDescent="0.3">
      <c r="A24" t="s">
        <v>75</v>
      </c>
      <c r="B24" t="s">
        <v>638</v>
      </c>
      <c r="C24" s="14">
        <f>IFERROR(VLOOKUP(A24,'متابعة المشاريع'!$A$2:$F$1003,6,FALSE),0)</f>
        <v>0</v>
      </c>
      <c r="D24" t="str">
        <f>IFERROR(VLOOKUP(A24,'متابعة المشاريع'!$A$2:$E$1003,5,FALSE),"")</f>
        <v>لم يبدأ</v>
      </c>
    </row>
    <row r="25" spans="1:4" x14ac:dyDescent="0.3">
      <c r="A25" t="s">
        <v>76</v>
      </c>
      <c r="B25" t="s">
        <v>198</v>
      </c>
      <c r="C25" s="14">
        <f>IFERROR(VLOOKUP(A25,'متابعة المشاريع'!$A$2:$F$1003,6,FALSE),0)</f>
        <v>0.4</v>
      </c>
      <c r="D25" t="str">
        <f>IFERROR(VLOOKUP(A25,'متابعة المشاريع'!$A$2:$E$1003,5,FALSE),"")</f>
        <v>قيد التنفيذ</v>
      </c>
    </row>
    <row r="26" spans="1:4" x14ac:dyDescent="0.3">
      <c r="A26" t="s">
        <v>76</v>
      </c>
      <c r="B26" t="s">
        <v>213</v>
      </c>
      <c r="C26" s="14">
        <f>IFERROR(VLOOKUP(A26,'متابعة المشاريع'!$A$2:$F$1003,6,FALSE),0)</f>
        <v>0.4</v>
      </c>
      <c r="D26" t="str">
        <f>IFERROR(VLOOKUP(A26,'متابعة المشاريع'!$A$2:$E$1003,5,FALSE),"")</f>
        <v>قيد التنفيذ</v>
      </c>
    </row>
    <row r="27" spans="1:4" x14ac:dyDescent="0.3">
      <c r="A27" t="s">
        <v>76</v>
      </c>
      <c r="B27" t="s">
        <v>234</v>
      </c>
      <c r="C27" s="14">
        <f>IFERROR(VLOOKUP(A27,'متابعة المشاريع'!$A$2:$F$1003,6,FALSE),0)</f>
        <v>0.4</v>
      </c>
      <c r="D27" t="str">
        <f>IFERROR(VLOOKUP(A27,'متابعة المشاريع'!$A$2:$E$1003,5,FALSE),"")</f>
        <v>قيد التنفيذ</v>
      </c>
    </row>
    <row r="28" spans="1:4" x14ac:dyDescent="0.3">
      <c r="A28" t="s">
        <v>76</v>
      </c>
      <c r="B28" t="s">
        <v>258</v>
      </c>
      <c r="C28" s="14">
        <f>IFERROR(VLOOKUP(A28,'متابعة المشاريع'!$A$2:$F$1003,6,FALSE),0)</f>
        <v>0.4</v>
      </c>
      <c r="D28" t="str">
        <f>IFERROR(VLOOKUP(A28,'متابعة المشاريع'!$A$2:$E$1003,5,FALSE),"")</f>
        <v>قيد التنفيذ</v>
      </c>
    </row>
    <row r="29" spans="1:4" x14ac:dyDescent="0.3">
      <c r="A29" t="s">
        <v>73</v>
      </c>
      <c r="B29" t="s">
        <v>146</v>
      </c>
      <c r="C29" s="14">
        <f>IFERROR(VLOOKUP(A29,'متابعة المشاريع'!$A$2:$F$1003,6,FALSE),0)</f>
        <v>0.4</v>
      </c>
      <c r="D29" t="str">
        <f>IFERROR(VLOOKUP(A29,'متابعة المشاريع'!$A$2:$E$1003,5,FALSE),"")</f>
        <v>قيد التنفيذ</v>
      </c>
    </row>
    <row r="30" spans="1:4" x14ac:dyDescent="0.3">
      <c r="A30" t="s">
        <v>73</v>
      </c>
      <c r="B30" t="s">
        <v>169</v>
      </c>
      <c r="C30" s="14">
        <f>IFERROR(VLOOKUP(A30,'متابعة المشاريع'!$A$2:$F$1003,6,FALSE),0)</f>
        <v>0.4</v>
      </c>
      <c r="D30" t="str">
        <f>IFERROR(VLOOKUP(A30,'متابعة المشاريع'!$A$2:$E$1003,5,FALSE),"")</f>
        <v>قيد التنفيذ</v>
      </c>
    </row>
    <row r="31" spans="1:4" x14ac:dyDescent="0.3">
      <c r="A31" t="s">
        <v>73</v>
      </c>
      <c r="B31" t="s">
        <v>209</v>
      </c>
      <c r="C31" s="14">
        <f>IFERROR(VLOOKUP(A31,'متابعة المشاريع'!$A$2:$F$1003,6,FALSE),0)</f>
        <v>0.4</v>
      </c>
      <c r="D31" t="str">
        <f>IFERROR(VLOOKUP(A31,'متابعة المشاريع'!$A$2:$E$1003,5,FALSE),"")</f>
        <v>قيد التنفيذ</v>
      </c>
    </row>
    <row r="32" spans="1:4" x14ac:dyDescent="0.3">
      <c r="A32" t="s">
        <v>73</v>
      </c>
      <c r="B32" t="s">
        <v>263</v>
      </c>
      <c r="C32" s="14">
        <f>IFERROR(VLOOKUP(A32,'متابعة المشاريع'!$A$2:$F$1003,6,FALSE),0)</f>
        <v>0.4</v>
      </c>
      <c r="D32" t="str">
        <f>IFERROR(VLOOKUP(A32,'متابعة المشاريع'!$A$2:$E$1003,5,FALSE),"")</f>
        <v>قيد التنفيذ</v>
      </c>
    </row>
    <row r="33" spans="1:4" x14ac:dyDescent="0.3">
      <c r="A33" t="s">
        <v>77</v>
      </c>
      <c r="B33" t="s">
        <v>16</v>
      </c>
      <c r="C33" s="14">
        <f>IFERROR(VLOOKUP(A33,'متابعة المشاريع'!$A$2:$F$1003,6,FALSE),0)</f>
        <v>0</v>
      </c>
      <c r="D33" t="str">
        <f>IFERROR(VLOOKUP(A33,'متابعة المشاريع'!$A$2:$E$1003,5,FALSE),"")</f>
        <v>لم يبدأ</v>
      </c>
    </row>
    <row r="34" spans="1:4" x14ac:dyDescent="0.3">
      <c r="A34" t="s">
        <v>77</v>
      </c>
      <c r="B34" t="s">
        <v>18</v>
      </c>
      <c r="C34" s="14">
        <f>IFERROR(VLOOKUP(A34,'متابعة المشاريع'!$A$2:$F$1003,6,FALSE),0)</f>
        <v>0</v>
      </c>
      <c r="D34" t="str">
        <f>IFERROR(VLOOKUP(A34,'متابعة المشاريع'!$A$2:$E$1003,5,FALSE),"")</f>
        <v>لم يبدأ</v>
      </c>
    </row>
    <row r="35" spans="1:4" x14ac:dyDescent="0.3">
      <c r="A35" t="s">
        <v>77</v>
      </c>
      <c r="B35" t="s">
        <v>20</v>
      </c>
      <c r="C35" s="14">
        <f>IFERROR(VLOOKUP(A35,'متابعة المشاريع'!$A$2:$F$1003,6,FALSE),0)</f>
        <v>0</v>
      </c>
      <c r="D35" t="str">
        <f>IFERROR(VLOOKUP(A35,'متابعة المشاريع'!$A$2:$E$1003,5,FALSE),"")</f>
        <v>لم يبدأ</v>
      </c>
    </row>
    <row r="36" spans="1:4" x14ac:dyDescent="0.3">
      <c r="A36" t="s">
        <v>77</v>
      </c>
      <c r="B36" t="s">
        <v>22</v>
      </c>
      <c r="C36" s="14">
        <f>IFERROR(VLOOKUP(A36,'متابعة المشاريع'!$A$2:$F$1003,6,FALSE),0)</f>
        <v>0</v>
      </c>
      <c r="D36" t="str">
        <f>IFERROR(VLOOKUP(A36,'متابعة المشاريع'!$A$2:$E$1003,5,FALSE),"")</f>
        <v>لم يبدأ</v>
      </c>
    </row>
    <row r="37" spans="1:4" x14ac:dyDescent="0.3">
      <c r="A37" t="s">
        <v>71</v>
      </c>
      <c r="B37" t="s">
        <v>132</v>
      </c>
      <c r="C37" s="14">
        <f>IFERROR(VLOOKUP(A37,'متابعة المشاريع'!$A$2:$F$1003,6,FALSE),0)</f>
        <v>0</v>
      </c>
      <c r="D37" t="str">
        <f>IFERROR(VLOOKUP(A37,'متابعة المشاريع'!$A$2:$E$1003,5,FALSE),"")</f>
        <v>لم يبدأ</v>
      </c>
    </row>
    <row r="38" spans="1:4" x14ac:dyDescent="0.3">
      <c r="A38" t="s">
        <v>71</v>
      </c>
      <c r="B38" t="s">
        <v>138</v>
      </c>
      <c r="C38" s="14">
        <f>IFERROR(VLOOKUP(A38,'متابعة المشاريع'!$A$2:$F$1003,6,FALSE),0)</f>
        <v>0</v>
      </c>
      <c r="D38" t="str">
        <f>IFERROR(VLOOKUP(A38,'متابعة المشاريع'!$A$2:$E$1003,5,FALSE),"")</f>
        <v>لم يبدأ</v>
      </c>
    </row>
    <row r="39" spans="1:4" x14ac:dyDescent="0.3">
      <c r="A39" t="s">
        <v>71</v>
      </c>
      <c r="B39" t="s">
        <v>167</v>
      </c>
      <c r="C39" s="14">
        <f>IFERROR(VLOOKUP(A39,'متابعة المشاريع'!$A$2:$F$1003,6,FALSE),0)</f>
        <v>0</v>
      </c>
      <c r="D39" t="str">
        <f>IFERROR(VLOOKUP(A39,'متابعة المشاريع'!$A$2:$E$1003,5,FALSE),"")</f>
        <v>لم يبدأ</v>
      </c>
    </row>
    <row r="40" spans="1:4" x14ac:dyDescent="0.3">
      <c r="A40" t="s">
        <v>71</v>
      </c>
      <c r="B40" t="s">
        <v>173</v>
      </c>
      <c r="C40" s="14">
        <f>IFERROR(VLOOKUP(A40,'متابعة المشاريع'!$A$2:$F$1003,6,FALSE),0)</f>
        <v>0</v>
      </c>
      <c r="D40" t="str">
        <f>IFERROR(VLOOKUP(A40,'متابعة المشاريع'!$A$2:$E$1003,5,FALSE),"")</f>
        <v>لم يبدأ</v>
      </c>
    </row>
    <row r="41" spans="1:4" x14ac:dyDescent="0.3">
      <c r="A41" t="s">
        <v>71</v>
      </c>
      <c r="B41" t="s">
        <v>178</v>
      </c>
      <c r="C41" s="14">
        <f>IFERROR(VLOOKUP(A41,'متابعة المشاريع'!$A$2:$F$1003,6,FALSE),0)</f>
        <v>0</v>
      </c>
      <c r="D41" t="str">
        <f>IFERROR(VLOOKUP(A41,'متابعة المشاريع'!$A$2:$E$1003,5,FALSE),"")</f>
        <v>لم يبدأ</v>
      </c>
    </row>
    <row r="42" spans="1:4" x14ac:dyDescent="0.3">
      <c r="A42" t="s">
        <v>71</v>
      </c>
      <c r="B42" t="s">
        <v>639</v>
      </c>
      <c r="C42" s="14">
        <f>IFERROR(VLOOKUP(A42,'متابعة المشاريع'!$A$2:$F$1003,6,FALSE),0)</f>
        <v>0</v>
      </c>
      <c r="D42" t="str">
        <f>IFERROR(VLOOKUP(A42,'متابعة المشاريع'!$A$2:$E$1003,5,FALSE),"")</f>
        <v>لم يبدأ</v>
      </c>
    </row>
    <row r="43" spans="1:4" x14ac:dyDescent="0.3">
      <c r="A43" t="s">
        <v>71</v>
      </c>
      <c r="B43" t="s">
        <v>211</v>
      </c>
      <c r="C43" s="14">
        <f>IFERROR(VLOOKUP(A43,'متابعة المشاريع'!$A$2:$F$1003,6,FALSE),0)</f>
        <v>0</v>
      </c>
      <c r="D43" t="str">
        <f>IFERROR(VLOOKUP(A43,'متابعة المشاريع'!$A$2:$E$1003,5,FALSE),"")</f>
        <v>لم يبدأ</v>
      </c>
    </row>
    <row r="44" spans="1:4" x14ac:dyDescent="0.3">
      <c r="A44" t="s">
        <v>81</v>
      </c>
      <c r="B44" t="s">
        <v>209</v>
      </c>
      <c r="C44" s="14">
        <f>IFERROR(VLOOKUP(A44,'متابعة المشاريع'!$A$2:$F$1003,6,FALSE),0)</f>
        <v>0</v>
      </c>
      <c r="D44" t="str">
        <f>IFERROR(VLOOKUP(A44,'متابعة المشاريع'!$A$2:$E$1003,5,FALSE),"")</f>
        <v>لم يبدأ</v>
      </c>
    </row>
    <row r="45" spans="1:4" x14ac:dyDescent="0.3">
      <c r="A45" t="s">
        <v>81</v>
      </c>
      <c r="B45" t="s">
        <v>263</v>
      </c>
      <c r="C45" s="14">
        <f>IFERROR(VLOOKUP(A45,'متابعة المشاريع'!$A$2:$F$1003,6,FALSE),0)</f>
        <v>0</v>
      </c>
      <c r="D45" t="str">
        <f>IFERROR(VLOOKUP(A45,'متابعة المشاريع'!$A$2:$E$1003,5,FALSE),"")</f>
        <v>لم يبدأ</v>
      </c>
    </row>
    <row r="46" spans="1:4" x14ac:dyDescent="0.3">
      <c r="A46" t="s">
        <v>78</v>
      </c>
      <c r="B46" t="s">
        <v>195</v>
      </c>
      <c r="C46" s="14">
        <f>IFERROR(VLOOKUP(A46,'متابعة المشاريع'!$A$2:$F$1003,6,FALSE),0)</f>
        <v>0.5</v>
      </c>
      <c r="D46" t="str">
        <f>IFERROR(VLOOKUP(A46,'متابعة المشاريع'!$A$2:$E$1003,5,FALSE),"")</f>
        <v>قيد التنفيذ</v>
      </c>
    </row>
    <row r="47" spans="1:4" x14ac:dyDescent="0.3">
      <c r="A47" t="s">
        <v>78</v>
      </c>
      <c r="B47" t="s">
        <v>196</v>
      </c>
      <c r="C47" s="14">
        <f>IFERROR(VLOOKUP(A47,'متابعة المشاريع'!$A$2:$F$1003,6,FALSE),0)</f>
        <v>0.5</v>
      </c>
      <c r="D47" t="str">
        <f>IFERROR(VLOOKUP(A47,'متابعة المشاريع'!$A$2:$E$1003,5,FALSE),"")</f>
        <v>قيد التنفيذ</v>
      </c>
    </row>
    <row r="48" spans="1:4" x14ac:dyDescent="0.3">
      <c r="A48" t="s">
        <v>78</v>
      </c>
      <c r="B48" t="s">
        <v>256</v>
      </c>
      <c r="C48" s="14">
        <f>IFERROR(VLOOKUP(A48,'متابعة المشاريع'!$A$2:$F$1003,6,FALSE),0)</f>
        <v>0.5</v>
      </c>
      <c r="D48" t="str">
        <f>IFERROR(VLOOKUP(A48,'متابعة المشاريع'!$A$2:$E$1003,5,FALSE),"")</f>
        <v>قيد التنفيذ</v>
      </c>
    </row>
    <row r="49" spans="1:4" x14ac:dyDescent="0.3">
      <c r="A49" t="s">
        <v>78</v>
      </c>
      <c r="B49" t="s">
        <v>257</v>
      </c>
      <c r="C49" s="14">
        <f>IFERROR(VLOOKUP(A49,'متابعة المشاريع'!$A$2:$F$1003,6,FALSE),0)</f>
        <v>0.5</v>
      </c>
      <c r="D49" t="str">
        <f>IFERROR(VLOOKUP(A49,'متابعة المشاريع'!$A$2:$E$1003,5,FALSE),"")</f>
        <v>قيد التنفيذ</v>
      </c>
    </row>
    <row r="50" spans="1:4" x14ac:dyDescent="0.3">
      <c r="A50" t="s">
        <v>79</v>
      </c>
      <c r="B50" t="s">
        <v>261</v>
      </c>
      <c r="C50" s="14">
        <f>IFERROR(VLOOKUP(A50,'متابعة المشاريع'!$A$2:$F$1003,6,FALSE),0)</f>
        <v>0.5</v>
      </c>
      <c r="D50" t="str">
        <f>IFERROR(VLOOKUP(A50,'متابعة المشاريع'!$A$2:$E$1003,5,FALSE),"")</f>
        <v>قيد التنفيذ</v>
      </c>
    </row>
    <row r="51" spans="1:4" x14ac:dyDescent="0.3">
      <c r="A51" t="s">
        <v>79</v>
      </c>
      <c r="B51" t="s">
        <v>264</v>
      </c>
      <c r="C51" s="14">
        <f>IFERROR(VLOOKUP(A51,'متابعة المشاريع'!$A$2:$F$1003,6,FALSE),0)</f>
        <v>0.5</v>
      </c>
      <c r="D51" t="str">
        <f>IFERROR(VLOOKUP(A51,'متابعة المشاريع'!$A$2:$E$1003,5,FALSE),"")</f>
        <v>قيد التنفيذ</v>
      </c>
    </row>
    <row r="52" spans="1:4" x14ac:dyDescent="0.3">
      <c r="A52" t="s">
        <v>79</v>
      </c>
      <c r="B52" t="s">
        <v>267</v>
      </c>
      <c r="C52" s="14">
        <f>IFERROR(VLOOKUP(A52,'متابعة المشاريع'!$A$2:$F$1003,6,FALSE),0)</f>
        <v>0.5</v>
      </c>
      <c r="D52" t="str">
        <f>IFERROR(VLOOKUP(A52,'متابعة المشاريع'!$A$2:$E$1003,5,FALSE),"")</f>
        <v>قيد التنفيذ</v>
      </c>
    </row>
    <row r="53" spans="1:4" x14ac:dyDescent="0.3">
      <c r="A53" t="s">
        <v>69</v>
      </c>
      <c r="B53" t="s">
        <v>117</v>
      </c>
      <c r="C53" s="14">
        <f>IFERROR(VLOOKUP(A53,'متابعة المشاريع'!$A$2:$F$1003,6,FALSE),0)</f>
        <v>0</v>
      </c>
      <c r="D53" t="str">
        <f>IFERROR(VLOOKUP(A53,'متابعة المشاريع'!$A$2:$E$1003,5,FALSE),"")</f>
        <v>لم يبدأ</v>
      </c>
    </row>
    <row r="54" spans="1:4" x14ac:dyDescent="0.3">
      <c r="A54" t="s">
        <v>69</v>
      </c>
      <c r="B54" t="s">
        <v>143</v>
      </c>
      <c r="C54" s="14">
        <f>IFERROR(VLOOKUP(A54,'متابعة المشاريع'!$A$2:$F$1003,6,FALSE),0)</f>
        <v>0</v>
      </c>
      <c r="D54" t="str">
        <f>IFERROR(VLOOKUP(A54,'متابعة المشاريع'!$A$2:$E$1003,5,FALSE),"")</f>
        <v>لم يبدأ</v>
      </c>
    </row>
    <row r="55" spans="1:4" x14ac:dyDescent="0.3">
      <c r="A55" t="s">
        <v>69</v>
      </c>
      <c r="B55" t="s">
        <v>159</v>
      </c>
      <c r="C55" s="14">
        <f>IFERROR(VLOOKUP(A55,'متابعة المشاريع'!$A$2:$F$1003,6,FALSE),0)</f>
        <v>0</v>
      </c>
      <c r="D55" t="str">
        <f>IFERROR(VLOOKUP(A55,'متابعة المشاريع'!$A$2:$E$1003,5,FALSE),"")</f>
        <v>لم يبدأ</v>
      </c>
    </row>
    <row r="56" spans="1:4" x14ac:dyDescent="0.3">
      <c r="A56" t="s">
        <v>69</v>
      </c>
      <c r="B56" t="s">
        <v>161</v>
      </c>
      <c r="C56" s="14">
        <f>IFERROR(VLOOKUP(A56,'متابعة المشاريع'!$A$2:$F$1003,6,FALSE),0)</f>
        <v>0</v>
      </c>
      <c r="D56" t="str">
        <f>IFERROR(VLOOKUP(A56,'متابعة المشاريع'!$A$2:$E$1003,5,FALSE),"")</f>
        <v>لم يبدأ</v>
      </c>
    </row>
    <row r="57" spans="1:4" x14ac:dyDescent="0.3">
      <c r="A57" t="s">
        <v>69</v>
      </c>
      <c r="B57" t="s">
        <v>163</v>
      </c>
      <c r="C57" s="14">
        <f>IFERROR(VLOOKUP(A57,'متابعة المشاريع'!$A$2:$F$1003,6,FALSE),0)</f>
        <v>0</v>
      </c>
      <c r="D57" t="str">
        <f>IFERROR(VLOOKUP(A57,'متابعة المشاريع'!$A$2:$E$1003,5,FALSE),"")</f>
        <v>لم يبدأ</v>
      </c>
    </row>
    <row r="58" spans="1:4" x14ac:dyDescent="0.3">
      <c r="A58" t="s">
        <v>69</v>
      </c>
      <c r="B58" t="s">
        <v>188</v>
      </c>
      <c r="C58" s="14">
        <f>IFERROR(VLOOKUP(A58,'متابعة المشاريع'!$A$2:$F$1003,6,FALSE),0)</f>
        <v>0</v>
      </c>
      <c r="D58" t="str">
        <f>IFERROR(VLOOKUP(A58,'متابعة المشاريع'!$A$2:$E$1003,5,FALSE),"")</f>
        <v>لم يبدأ</v>
      </c>
    </row>
    <row r="59" spans="1:4" x14ac:dyDescent="0.3">
      <c r="A59" t="s">
        <v>69</v>
      </c>
      <c r="B59" t="s">
        <v>640</v>
      </c>
      <c r="C59" s="14">
        <f>IFERROR(VLOOKUP(A59,'متابعة المشاريع'!$A$2:$F$1003,6,FALSE),0)</f>
        <v>0</v>
      </c>
      <c r="D59" t="str">
        <f>IFERROR(VLOOKUP(A59,'متابعة المشاريع'!$A$2:$E$1003,5,FALSE),"")</f>
        <v>لم يبدأ</v>
      </c>
    </row>
    <row r="60" spans="1:4" x14ac:dyDescent="0.3">
      <c r="A60" t="s">
        <v>69</v>
      </c>
      <c r="B60" t="s">
        <v>635</v>
      </c>
      <c r="C60" s="14">
        <f>IFERROR(VLOOKUP(A60,'متابعة المشاريع'!$A$2:$F$1003,6,FALSE),0)</f>
        <v>0</v>
      </c>
      <c r="D60" t="str">
        <f>IFERROR(VLOOKUP(A60,'متابعة المشاريع'!$A$2:$E$1003,5,FALSE),"")</f>
        <v>لم يبدأ</v>
      </c>
    </row>
    <row r="61" spans="1:4" x14ac:dyDescent="0.3">
      <c r="A61" t="s">
        <v>69</v>
      </c>
      <c r="B61" t="s">
        <v>637</v>
      </c>
      <c r="C61" s="14">
        <f>IFERROR(VLOOKUP(A61,'متابعة المشاريع'!$A$2:$F$1003,6,FALSE),0)</f>
        <v>0</v>
      </c>
      <c r="D61" t="str">
        <f>IFERROR(VLOOKUP(A61,'متابعة المشاريع'!$A$2:$E$1003,5,FALSE),"")</f>
        <v>لم يبدأ</v>
      </c>
    </row>
    <row r="62" spans="1:4" x14ac:dyDescent="0.3">
      <c r="A62" t="s">
        <v>69</v>
      </c>
      <c r="B62" t="s">
        <v>641</v>
      </c>
      <c r="C62" s="14">
        <f>IFERROR(VLOOKUP(A62,'متابعة المشاريع'!$A$2:$F$1003,6,FALSE),0)</f>
        <v>0</v>
      </c>
      <c r="D62" t="str">
        <f>IFERROR(VLOOKUP(A62,'متابعة المشاريع'!$A$2:$E$1003,5,FALSE),"")</f>
        <v>لم يبدأ</v>
      </c>
    </row>
    <row r="63" spans="1:4" x14ac:dyDescent="0.3">
      <c r="A63" t="s">
        <v>69</v>
      </c>
      <c r="B63" t="s">
        <v>642</v>
      </c>
      <c r="C63" s="14">
        <f>IFERROR(VLOOKUP(A63,'متابعة المشاريع'!$A$2:$F$1003,6,FALSE),0)</f>
        <v>0</v>
      </c>
      <c r="D63" t="str">
        <f>IFERROR(VLOOKUP(A63,'متابعة المشاريع'!$A$2:$E$1003,5,FALSE),"")</f>
        <v>لم يبدأ</v>
      </c>
    </row>
    <row r="64" spans="1:4" x14ac:dyDescent="0.3">
      <c r="A64" t="s">
        <v>68</v>
      </c>
      <c r="B64" t="s">
        <v>245</v>
      </c>
      <c r="C64" s="14">
        <f>IFERROR(VLOOKUP(A64,'متابعة المشاريع'!$A$2:$F$1003,6,FALSE),0)</f>
        <v>0.2</v>
      </c>
      <c r="D64" t="str">
        <f>IFERROR(VLOOKUP(A64,'متابعة المشاريع'!$A$2:$E$1003,5,FALSE),"")</f>
        <v>حسب المخطط</v>
      </c>
    </row>
    <row r="65" spans="1:4" x14ac:dyDescent="0.3">
      <c r="A65" t="s">
        <v>68</v>
      </c>
      <c r="B65" t="s">
        <v>247</v>
      </c>
      <c r="C65" s="14">
        <f>IFERROR(VLOOKUP(A65,'متابعة المشاريع'!$A$2:$F$1003,6,FALSE),0)</f>
        <v>0.2</v>
      </c>
      <c r="D65" t="str">
        <f>IFERROR(VLOOKUP(A65,'متابعة المشاريع'!$A$2:$E$1003,5,FALSE),"")</f>
        <v>حسب المخطط</v>
      </c>
    </row>
    <row r="66" spans="1:4" x14ac:dyDescent="0.3">
      <c r="A66" t="s">
        <v>68</v>
      </c>
      <c r="B66" t="s">
        <v>132</v>
      </c>
      <c r="C66" s="14">
        <f>IFERROR(VLOOKUP(A66,'متابعة المشاريع'!$A$2:$F$1003,6,FALSE),0)</f>
        <v>0.2</v>
      </c>
      <c r="D66" t="str">
        <f>IFERROR(VLOOKUP(A66,'متابعة المشاريع'!$A$2:$E$1003,5,FALSE),"")</f>
        <v>حسب المخطط</v>
      </c>
    </row>
    <row r="67" spans="1:4" x14ac:dyDescent="0.3">
      <c r="A67" t="s">
        <v>68</v>
      </c>
      <c r="B67" t="s">
        <v>138</v>
      </c>
      <c r="C67" s="14">
        <f>IFERROR(VLOOKUP(A67,'متابعة المشاريع'!$A$2:$F$1003,6,FALSE),0)</f>
        <v>0.2</v>
      </c>
      <c r="D67" t="str">
        <f>IFERROR(VLOOKUP(A67,'متابعة المشاريع'!$A$2:$E$1003,5,FALSE),"")</f>
        <v>حسب المخطط</v>
      </c>
    </row>
    <row r="68" spans="1:4" x14ac:dyDescent="0.3">
      <c r="A68" t="s">
        <v>68</v>
      </c>
      <c r="B68" t="s">
        <v>165</v>
      </c>
      <c r="C68" s="14">
        <f>IFERROR(VLOOKUP(A68,'متابعة المشاريع'!$A$2:$F$1003,6,FALSE),0)</f>
        <v>0.2</v>
      </c>
      <c r="D68" t="str">
        <f>IFERROR(VLOOKUP(A68,'متابعة المشاريع'!$A$2:$E$1003,5,FALSE),"")</f>
        <v>حسب المخطط</v>
      </c>
    </row>
    <row r="69" spans="1:4" x14ac:dyDescent="0.3">
      <c r="A69" t="s">
        <v>68</v>
      </c>
      <c r="B69" t="s">
        <v>167</v>
      </c>
      <c r="C69" s="14">
        <f>IFERROR(VLOOKUP(A69,'متابعة المشاريع'!$A$2:$F$1003,6,FALSE),0)</f>
        <v>0.2</v>
      </c>
      <c r="D69" t="str">
        <f>IFERROR(VLOOKUP(A69,'متابعة المشاريع'!$A$2:$E$1003,5,FALSE),"")</f>
        <v>حسب المخطط</v>
      </c>
    </row>
    <row r="70" spans="1:4" x14ac:dyDescent="0.3">
      <c r="A70" t="s">
        <v>68</v>
      </c>
      <c r="B70" t="s">
        <v>173</v>
      </c>
      <c r="C70" s="14">
        <f>IFERROR(VLOOKUP(A70,'متابعة المشاريع'!$A$2:$F$1003,6,FALSE),0)</f>
        <v>0.2</v>
      </c>
      <c r="D70" t="str">
        <f>IFERROR(VLOOKUP(A70,'متابعة المشاريع'!$A$2:$E$1003,5,FALSE),"")</f>
        <v>حسب المخطط</v>
      </c>
    </row>
    <row r="71" spans="1:4" x14ac:dyDescent="0.3">
      <c r="A71" t="s">
        <v>68</v>
      </c>
      <c r="B71" t="s">
        <v>178</v>
      </c>
      <c r="C71" s="14">
        <f>IFERROR(VLOOKUP(A71,'متابعة المشاريع'!$A$2:$F$1003,6,FALSE),0)</f>
        <v>0.2</v>
      </c>
      <c r="D71" t="str">
        <f>IFERROR(VLOOKUP(A71,'متابعة المشاريع'!$A$2:$E$1003,5,FALSE),"")</f>
        <v>حسب المخطط</v>
      </c>
    </row>
    <row r="72" spans="1:4" x14ac:dyDescent="0.3">
      <c r="A72" t="s">
        <v>68</v>
      </c>
      <c r="B72" t="s">
        <v>180</v>
      </c>
      <c r="C72" s="14">
        <f>IFERROR(VLOOKUP(A72,'متابعة المشاريع'!$A$2:$F$1003,6,FALSE),0)</f>
        <v>0.2</v>
      </c>
      <c r="D72" t="str">
        <f>IFERROR(VLOOKUP(A72,'متابعة المشاريع'!$A$2:$E$1003,5,FALSE),"")</f>
        <v>حسب المخطط</v>
      </c>
    </row>
    <row r="73" spans="1:4" x14ac:dyDescent="0.3">
      <c r="A73" t="s">
        <v>68</v>
      </c>
      <c r="B73" t="s">
        <v>182</v>
      </c>
      <c r="C73" s="14">
        <f>IFERROR(VLOOKUP(A73,'متابعة المشاريع'!$A$2:$F$1003,6,FALSE),0)</f>
        <v>0.2</v>
      </c>
      <c r="D73" t="str">
        <f>IFERROR(VLOOKUP(A73,'متابعة المشاريع'!$A$2:$E$1003,5,FALSE),"")</f>
        <v>حسب المخطط</v>
      </c>
    </row>
    <row r="74" spans="1:4" x14ac:dyDescent="0.3">
      <c r="A74" t="s">
        <v>68</v>
      </c>
      <c r="B74" t="s">
        <v>639</v>
      </c>
      <c r="C74" s="14">
        <f>IFERROR(VLOOKUP(A74,'متابعة المشاريع'!$A$2:$F$1003,6,FALSE),0)</f>
        <v>0.2</v>
      </c>
      <c r="D74" t="str">
        <f>IFERROR(VLOOKUP(A74,'متابعة المشاريع'!$A$2:$E$1003,5,FALSE),"")</f>
        <v>حسب المخطط</v>
      </c>
    </row>
    <row r="75" spans="1:4" x14ac:dyDescent="0.3">
      <c r="A75" t="s">
        <v>68</v>
      </c>
      <c r="B75" t="s">
        <v>636</v>
      </c>
      <c r="C75" s="14">
        <f>IFERROR(VLOOKUP(A75,'متابعة المشاريع'!$A$2:$F$1003,6,FALSE),0)</f>
        <v>0.2</v>
      </c>
      <c r="D75" t="str">
        <f>IFERROR(VLOOKUP(A75,'متابعة المشاريع'!$A$2:$E$1003,5,FALSE),"")</f>
        <v>حسب المخطط</v>
      </c>
    </row>
    <row r="76" spans="1:4" x14ac:dyDescent="0.3">
      <c r="A76" t="s">
        <v>68</v>
      </c>
      <c r="B76" t="s">
        <v>204</v>
      </c>
      <c r="C76" s="14">
        <f>IFERROR(VLOOKUP(A76,'متابعة المشاريع'!$A$2:$F$1003,6,FALSE),0)</f>
        <v>0.2</v>
      </c>
      <c r="D76" t="str">
        <f>IFERROR(VLOOKUP(A76,'متابعة المشاريع'!$A$2:$E$1003,5,FALSE),"")</f>
        <v>حسب المخطط</v>
      </c>
    </row>
    <row r="77" spans="1:4" x14ac:dyDescent="0.3">
      <c r="A77" t="s">
        <v>68</v>
      </c>
      <c r="B77" t="s">
        <v>206</v>
      </c>
      <c r="C77" s="14">
        <f>IFERROR(VLOOKUP(A77,'متابعة المشاريع'!$A$2:$F$1003,6,FALSE),0)</f>
        <v>0.2</v>
      </c>
      <c r="D77" t="str">
        <f>IFERROR(VLOOKUP(A77,'متابعة المشاريع'!$A$2:$E$1003,5,FALSE),"")</f>
        <v>حسب المخطط</v>
      </c>
    </row>
    <row r="78" spans="1:4" x14ac:dyDescent="0.3">
      <c r="A78" t="s">
        <v>68</v>
      </c>
      <c r="B78" t="s">
        <v>240</v>
      </c>
      <c r="C78" s="14">
        <f>IFERROR(VLOOKUP(A78,'متابعة المشاريع'!$A$2:$F$1003,6,FALSE),0)</f>
        <v>0.2</v>
      </c>
      <c r="D78" t="str">
        <f>IFERROR(VLOOKUP(A78,'متابعة المشاريع'!$A$2:$E$1003,5,FALSE),"")</f>
        <v>حسب المخطط</v>
      </c>
    </row>
    <row r="79" spans="1:4" x14ac:dyDescent="0.3">
      <c r="A79" t="s">
        <v>72</v>
      </c>
      <c r="B79" t="s">
        <v>174</v>
      </c>
      <c r="C79" s="14">
        <f>IFERROR(VLOOKUP(A79,'متابعة المشاريع'!$A$2:$F$1003,6,FALSE),0)</f>
        <v>0.45</v>
      </c>
      <c r="D79" t="str">
        <f>IFERROR(VLOOKUP(A79,'متابعة المشاريع'!$A$2:$E$1003,5,FALSE),"")</f>
        <v>قيد التنفيذ</v>
      </c>
    </row>
    <row r="80" spans="1:4" x14ac:dyDescent="0.3">
      <c r="A80" t="s">
        <v>72</v>
      </c>
      <c r="B80" t="s">
        <v>187</v>
      </c>
      <c r="C80" s="14">
        <f>IFERROR(VLOOKUP(A80,'متابعة المشاريع'!$A$2:$F$1003,6,FALSE),0)</f>
        <v>0.45</v>
      </c>
      <c r="D80" t="str">
        <f>IFERROR(VLOOKUP(A80,'متابعة المشاريع'!$A$2:$E$1003,5,FALSE),"")</f>
        <v>قيد التنفيذ</v>
      </c>
    </row>
    <row r="81" spans="1:4" x14ac:dyDescent="0.3">
      <c r="A81" t="s">
        <v>72</v>
      </c>
      <c r="B81" t="s">
        <v>643</v>
      </c>
      <c r="C81" s="14">
        <f>IFERROR(VLOOKUP(A81,'متابعة المشاريع'!$A$2:$F$1003,6,FALSE),0)</f>
        <v>0.45</v>
      </c>
      <c r="D81" t="str">
        <f>IFERROR(VLOOKUP(A81,'متابعة المشاريع'!$A$2:$E$1003,5,FALSE),"")</f>
        <v>قيد التنفيذ</v>
      </c>
    </row>
    <row r="82" spans="1:4" x14ac:dyDescent="0.3">
      <c r="A82" t="s">
        <v>72</v>
      </c>
      <c r="B82" t="s">
        <v>644</v>
      </c>
      <c r="C82" s="14">
        <f>IFERROR(VLOOKUP(A82,'متابعة المشاريع'!$A$2:$F$1003,6,FALSE),0)</f>
        <v>0.45</v>
      </c>
      <c r="D82" t="str">
        <f>IFERROR(VLOOKUP(A82,'متابعة المشاريع'!$A$2:$E$1003,5,FALSE),"")</f>
        <v>قيد التنفيذ</v>
      </c>
    </row>
    <row r="83" spans="1:4" x14ac:dyDescent="0.3">
      <c r="A83" t="s">
        <v>72</v>
      </c>
      <c r="B83" t="s">
        <v>645</v>
      </c>
      <c r="C83" s="14">
        <f>IFERROR(VLOOKUP(A83,'متابعة المشاريع'!$A$2:$F$1003,6,FALSE),0)</f>
        <v>0.45</v>
      </c>
      <c r="D83" t="str">
        <f>IFERROR(VLOOKUP(A83,'متابعة المشاريع'!$A$2:$E$1003,5,FALSE),"")</f>
        <v>قيد التنفيذ</v>
      </c>
    </row>
    <row r="84" spans="1:4" x14ac:dyDescent="0.3">
      <c r="A84" t="s">
        <v>72</v>
      </c>
      <c r="B84" t="s">
        <v>646</v>
      </c>
      <c r="C84" s="14">
        <f>IFERROR(VLOOKUP(A84,'متابعة المشاريع'!$A$2:$F$1003,6,FALSE),0)</f>
        <v>0.45</v>
      </c>
      <c r="D84" t="str">
        <f>IFERROR(VLOOKUP(A84,'متابعة المشاريع'!$A$2:$E$1003,5,FALSE),"")</f>
        <v>قيد التنفيذ</v>
      </c>
    </row>
    <row r="85" spans="1:4" x14ac:dyDescent="0.3">
      <c r="A85" t="s">
        <v>215</v>
      </c>
      <c r="B85" t="s">
        <v>251</v>
      </c>
      <c r="C85" s="14">
        <f>IFERROR(VLOOKUP(A85,'متابعة المشاريع'!$A$2:$F$1003,6,FALSE),0)</f>
        <v>0.53310000000000002</v>
      </c>
      <c r="D85" t="str">
        <f>IFERROR(VLOOKUP(A85,'متابعة المشاريع'!$A$2:$E$1003,5,FALSE),"")</f>
        <v>حسب المخطط</v>
      </c>
    </row>
    <row r="86" spans="1:4" x14ac:dyDescent="0.3">
      <c r="A86" t="s">
        <v>215</v>
      </c>
      <c r="B86" t="s">
        <v>107</v>
      </c>
      <c r="C86" s="14">
        <f>IFERROR(VLOOKUP(A86,'متابعة المشاريع'!$A$2:$F$1003,6,FALSE),0)</f>
        <v>0.53310000000000002</v>
      </c>
      <c r="D86" t="str">
        <f>IFERROR(VLOOKUP(A86,'متابعة المشاريع'!$A$2:$E$1003,5,FALSE),"")</f>
        <v>حسب المخطط</v>
      </c>
    </row>
    <row r="87" spans="1:4" x14ac:dyDescent="0.3">
      <c r="A87" t="s">
        <v>74</v>
      </c>
      <c r="B87" t="s">
        <v>169</v>
      </c>
      <c r="C87" s="14">
        <f>IFERROR(VLOOKUP(A87,'متابعة المشاريع'!$A$2:$F$1003,6,FALSE),0)</f>
        <v>0.65</v>
      </c>
      <c r="D87" t="str">
        <f>IFERROR(VLOOKUP(A87,'متابعة المشاريع'!$A$2:$E$1003,5,FALSE),"")</f>
        <v>قيد التنفيذ</v>
      </c>
    </row>
    <row r="88" spans="1:4" x14ac:dyDescent="0.3">
      <c r="A88" t="s">
        <v>74</v>
      </c>
      <c r="B88" t="s">
        <v>204</v>
      </c>
      <c r="C88" s="14">
        <f>IFERROR(VLOOKUP(A88,'متابعة المشاريع'!$A$2:$F$1003,6,FALSE),0)</f>
        <v>0.65</v>
      </c>
      <c r="D88" t="str">
        <f>IFERROR(VLOOKUP(A88,'متابعة المشاريع'!$A$2:$E$1003,5,FALSE),"")</f>
        <v>قيد التنفيذ</v>
      </c>
    </row>
    <row r="89" spans="1:4" x14ac:dyDescent="0.3">
      <c r="A89" t="s">
        <v>74</v>
      </c>
      <c r="B89" t="s">
        <v>206</v>
      </c>
      <c r="C89" s="14">
        <f>IFERROR(VLOOKUP(A89,'متابعة المشاريع'!$A$2:$F$1003,6,FALSE),0)</f>
        <v>0.65</v>
      </c>
      <c r="D89" t="str">
        <f>IFERROR(VLOOKUP(A89,'متابعة المشاريع'!$A$2:$E$1003,5,FALSE),"")</f>
        <v>قيد التنفيذ</v>
      </c>
    </row>
    <row r="90" spans="1:4" x14ac:dyDescent="0.3">
      <c r="A90" t="s">
        <v>74</v>
      </c>
      <c r="B90" t="s">
        <v>240</v>
      </c>
      <c r="C90" s="14">
        <f>IFERROR(VLOOKUP(A90,'متابعة المشاريع'!$A$2:$F$1003,6,FALSE),0)</f>
        <v>0.65</v>
      </c>
      <c r="D90" t="str">
        <f>IFERROR(VLOOKUP(A90,'متابعة المشاريع'!$A$2:$E$1003,5,FALSE),"")</f>
        <v>قيد التنفيذ</v>
      </c>
    </row>
    <row r="91" spans="1:4" x14ac:dyDescent="0.3">
      <c r="A91" t="s">
        <v>222</v>
      </c>
      <c r="B91" t="s">
        <v>263</v>
      </c>
      <c r="C91" s="14">
        <f>IFERROR(VLOOKUP(A91,'متابعة المشاريع'!$A$2:$F$1003,6,FALSE),0)</f>
        <v>0.65</v>
      </c>
      <c r="D91" t="str">
        <f>IFERROR(VLOOKUP(A91,'متابعة المشاريع'!$A$2:$E$1003,5,FALSE),"")</f>
        <v>قيد التنفيذ</v>
      </c>
    </row>
    <row r="92" spans="1:4" x14ac:dyDescent="0.3">
      <c r="A92" t="s">
        <v>67</v>
      </c>
      <c r="B92" t="s">
        <v>245</v>
      </c>
      <c r="C92" s="14">
        <f>IFERROR(VLOOKUP(A92,'متابعة المشاريع'!$A$2:$F$1003,6,FALSE),0)</f>
        <v>0.75</v>
      </c>
      <c r="D92" t="str">
        <f>IFERROR(VLOOKUP(A92,'متابعة المشاريع'!$A$2:$E$1003,5,FALSE),"")</f>
        <v>قيد التنفيذ</v>
      </c>
    </row>
    <row r="93" spans="1:4" x14ac:dyDescent="0.3">
      <c r="A93" t="s">
        <v>67</v>
      </c>
      <c r="B93" t="s">
        <v>247</v>
      </c>
      <c r="C93" s="14">
        <f>IFERROR(VLOOKUP(A93,'متابعة المشاريع'!$A$2:$F$1003,6,FALSE),0)</f>
        <v>0.75</v>
      </c>
      <c r="D93" t="str">
        <f>IFERROR(VLOOKUP(A93,'متابعة المشاريع'!$A$2:$E$1003,5,FALSE),"")</f>
        <v>قيد التنفيذ</v>
      </c>
    </row>
    <row r="94" spans="1:4" x14ac:dyDescent="0.3">
      <c r="A94" t="s">
        <v>67</v>
      </c>
      <c r="B94" t="s">
        <v>117</v>
      </c>
      <c r="C94" s="14">
        <f>IFERROR(VLOOKUP(A94,'متابعة المشاريع'!$A$2:$F$1003,6,FALSE),0)</f>
        <v>0.75</v>
      </c>
      <c r="D94" t="str">
        <f>IFERROR(VLOOKUP(A94,'متابعة المشاريع'!$A$2:$E$1003,5,FALSE),"")</f>
        <v>قيد التنفيذ</v>
      </c>
    </row>
    <row r="95" spans="1:4" x14ac:dyDescent="0.3">
      <c r="A95" t="s">
        <v>67</v>
      </c>
      <c r="B95" t="s">
        <v>143</v>
      </c>
      <c r="C95" s="14">
        <f>IFERROR(VLOOKUP(A95,'متابعة المشاريع'!$A$2:$F$1003,6,FALSE),0)</f>
        <v>0.75</v>
      </c>
      <c r="D95" t="str">
        <f>IFERROR(VLOOKUP(A95,'متابعة المشاريع'!$A$2:$E$1003,5,FALSE),"")</f>
        <v>قيد التنفيذ</v>
      </c>
    </row>
    <row r="96" spans="1:4" x14ac:dyDescent="0.3">
      <c r="A96" t="s">
        <v>67</v>
      </c>
      <c r="B96" t="s">
        <v>153</v>
      </c>
      <c r="C96" s="14">
        <f>IFERROR(VLOOKUP(A96,'متابعة المشاريع'!$A$2:$F$1003,6,FALSE),0)</f>
        <v>0.75</v>
      </c>
      <c r="D96" t="str">
        <f>IFERROR(VLOOKUP(A96,'متابعة المشاريع'!$A$2:$E$1003,5,FALSE),"")</f>
        <v>قيد التنفيذ</v>
      </c>
    </row>
    <row r="97" spans="1:4" x14ac:dyDescent="0.3">
      <c r="A97" t="s">
        <v>67</v>
      </c>
      <c r="B97" t="s">
        <v>159</v>
      </c>
      <c r="C97" s="14">
        <f>IFERROR(VLOOKUP(A97,'متابعة المشاريع'!$A$2:$F$1003,6,FALSE),0)</f>
        <v>0.75</v>
      </c>
      <c r="D97" t="str">
        <f>IFERROR(VLOOKUP(A97,'متابعة المشاريع'!$A$2:$E$1003,5,FALSE),"")</f>
        <v>قيد التنفيذ</v>
      </c>
    </row>
    <row r="98" spans="1:4" x14ac:dyDescent="0.3">
      <c r="A98" t="s">
        <v>67</v>
      </c>
      <c r="B98" t="s">
        <v>163</v>
      </c>
      <c r="C98" s="14">
        <f>IFERROR(VLOOKUP(A98,'متابعة المشاريع'!$A$2:$F$1003,6,FALSE),0)</f>
        <v>0.75</v>
      </c>
      <c r="D98" t="str">
        <f>IFERROR(VLOOKUP(A98,'متابعة المشاريع'!$A$2:$E$1003,5,FALSE),"")</f>
        <v>قيد التنفيذ</v>
      </c>
    </row>
    <row r="99" spans="1:4" x14ac:dyDescent="0.3">
      <c r="A99" t="s">
        <v>67</v>
      </c>
      <c r="B99" t="s">
        <v>171</v>
      </c>
      <c r="C99" s="14">
        <f>IFERROR(VLOOKUP(A99,'متابعة المشاريع'!$A$2:$F$1003,6,FALSE),0)</f>
        <v>0.75</v>
      </c>
      <c r="D99" t="str">
        <f>IFERROR(VLOOKUP(A99,'متابعة المشاريع'!$A$2:$E$1003,5,FALSE),"")</f>
        <v>قيد التنفيذ</v>
      </c>
    </row>
    <row r="100" spans="1:4" x14ac:dyDescent="0.3">
      <c r="A100" t="s">
        <v>67</v>
      </c>
      <c r="B100" t="s">
        <v>176</v>
      </c>
      <c r="C100" s="14">
        <f>IFERROR(VLOOKUP(A100,'متابعة المشاريع'!$A$2:$F$1003,6,FALSE),0)</f>
        <v>0.75</v>
      </c>
      <c r="D100" t="str">
        <f>IFERROR(VLOOKUP(A100,'متابعة المشاريع'!$A$2:$E$1003,5,FALSE),"")</f>
        <v>قيد التنفيذ</v>
      </c>
    </row>
    <row r="101" spans="1:4" x14ac:dyDescent="0.3">
      <c r="A101" t="s">
        <v>67</v>
      </c>
      <c r="B101" t="s">
        <v>184</v>
      </c>
      <c r="C101" s="14">
        <f>IFERROR(VLOOKUP(A101,'متابعة المشاريع'!$A$2:$F$1003,6,FALSE),0)</f>
        <v>0.75</v>
      </c>
      <c r="D101" t="str">
        <f>IFERROR(VLOOKUP(A101,'متابعة المشاريع'!$A$2:$E$1003,5,FALSE),"")</f>
        <v>قيد التنفيذ</v>
      </c>
    </row>
    <row r="102" spans="1:4" x14ac:dyDescent="0.3">
      <c r="A102" t="s">
        <v>67</v>
      </c>
      <c r="B102" t="s">
        <v>187</v>
      </c>
      <c r="C102" s="14">
        <f>IFERROR(VLOOKUP(A102,'متابعة المشاريع'!$A$2:$F$1003,6,FALSE),0)</f>
        <v>0.75</v>
      </c>
      <c r="D102" t="str">
        <f>IFERROR(VLOOKUP(A102,'متابعة المشاريع'!$A$2:$E$1003,5,FALSE),"")</f>
        <v>قيد التنفيذ</v>
      </c>
    </row>
    <row r="103" spans="1:4" x14ac:dyDescent="0.3">
      <c r="A103" t="s">
        <v>67</v>
      </c>
      <c r="B103" t="s">
        <v>188</v>
      </c>
      <c r="C103" s="14">
        <f>IFERROR(VLOOKUP(A103,'متابعة المشاريع'!$A$2:$F$1003,6,FALSE),0)</f>
        <v>0.75</v>
      </c>
      <c r="D103" t="str">
        <f>IFERROR(VLOOKUP(A103,'متابعة المشاريع'!$A$2:$E$1003,5,FALSE),"")</f>
        <v>قيد التنفيذ</v>
      </c>
    </row>
    <row r="104" spans="1:4" x14ac:dyDescent="0.3">
      <c r="A104" t="s">
        <v>67</v>
      </c>
      <c r="B104" t="s">
        <v>638</v>
      </c>
      <c r="C104" s="14">
        <f>IFERROR(VLOOKUP(A104,'متابعة المشاريع'!$A$2:$F$1003,6,FALSE),0)</f>
        <v>0.75</v>
      </c>
      <c r="D104" t="str">
        <f>IFERROR(VLOOKUP(A104,'متابعة المشاريع'!$A$2:$E$1003,5,FALSE),"")</f>
        <v>قيد التنفيذ</v>
      </c>
    </row>
    <row r="105" spans="1:4" x14ac:dyDescent="0.3">
      <c r="A105" t="s">
        <v>67</v>
      </c>
      <c r="B105" t="s">
        <v>647</v>
      </c>
      <c r="C105" s="14">
        <f>IFERROR(VLOOKUP(A105,'متابعة المشاريع'!$A$2:$F$1003,6,FALSE),0)</f>
        <v>0.75</v>
      </c>
      <c r="D105" t="str">
        <f>IFERROR(VLOOKUP(A105,'متابعة المشاريع'!$A$2:$E$1003,5,FALSE),"")</f>
        <v>قيد التنفيذ</v>
      </c>
    </row>
    <row r="106" spans="1:4" x14ac:dyDescent="0.3">
      <c r="A106" t="s">
        <v>67</v>
      </c>
      <c r="B106" t="s">
        <v>641</v>
      </c>
      <c r="C106" s="14">
        <f>IFERROR(VLOOKUP(A106,'متابعة المشاريع'!$A$2:$F$1003,6,FALSE),0)</f>
        <v>0.75</v>
      </c>
      <c r="D106" t="str">
        <f>IFERROR(VLOOKUP(A106,'متابعة المشاريع'!$A$2:$E$1003,5,FALSE),"")</f>
        <v>قيد التنفيذ</v>
      </c>
    </row>
    <row r="107" spans="1:4" x14ac:dyDescent="0.3">
      <c r="A107" t="s">
        <v>67</v>
      </c>
      <c r="B107" t="s">
        <v>642</v>
      </c>
      <c r="C107" s="14">
        <f>IFERROR(VLOOKUP(A107,'متابعة المشاريع'!$A$2:$F$1003,6,FALSE),0)</f>
        <v>0.75</v>
      </c>
      <c r="D107" t="str">
        <f>IFERROR(VLOOKUP(A107,'متابعة المشاريع'!$A$2:$E$1003,5,FALSE),"")</f>
        <v>قيد التنفيذ</v>
      </c>
    </row>
    <row r="108" spans="1:4" x14ac:dyDescent="0.3">
      <c r="A108" t="s">
        <v>67</v>
      </c>
      <c r="B108" t="s">
        <v>646</v>
      </c>
      <c r="C108" s="14">
        <f>IFERROR(VLOOKUP(A108,'متابعة المشاريع'!$A$2:$F$1003,6,FALSE),0)</f>
        <v>0.75</v>
      </c>
      <c r="D108" t="str">
        <f>IFERROR(VLOOKUP(A108,'متابعة المشاريع'!$A$2:$E$1003,5,FALSE),"")</f>
        <v>قيد التنفيذ</v>
      </c>
    </row>
    <row r="109" spans="1:4" x14ac:dyDescent="0.3">
      <c r="A109" t="s">
        <v>235</v>
      </c>
      <c r="B109" t="s">
        <v>262</v>
      </c>
      <c r="C109" s="14">
        <f>IFERROR(VLOOKUP(A109,'متابعة المشاريع'!$A$2:$F$1003,6,FALSE),0)</f>
        <v>0</v>
      </c>
      <c r="D109" t="str">
        <f>IFERROR(VLOOKUP(A109,'متابعة المشاريع'!$A$2:$E$1003,5,FALSE),"")</f>
        <v>لم يبدأ</v>
      </c>
    </row>
    <row r="110" spans="1:4" x14ac:dyDescent="0.3">
      <c r="A110" t="s">
        <v>237</v>
      </c>
      <c r="B110" t="s">
        <v>262</v>
      </c>
      <c r="C110" s="14">
        <f>IFERROR(VLOOKUP(A110,'متابعة المشاريع'!$A$2:$F$1003,6,FALSE),0)</f>
        <v>0.4</v>
      </c>
      <c r="D110" t="str">
        <f>IFERROR(VLOOKUP(A110,'متابعة المشاريع'!$A$2:$E$1003,5,FALSE),"")</f>
        <v>قيد التنفيذ</v>
      </c>
    </row>
    <row r="111" spans="1:4" x14ac:dyDescent="0.3">
      <c r="A111" t="s">
        <v>239</v>
      </c>
      <c r="B111" t="s">
        <v>14</v>
      </c>
      <c r="C111" s="14">
        <f>IFERROR(VLOOKUP(A111,'متابعة المشاريع'!$A$2:$F$1003,6,FALSE),0)</f>
        <v>0</v>
      </c>
      <c r="D111" t="str">
        <f>IFERROR(VLOOKUP(A111,'متابعة المشاريع'!$A$2:$E$1003,5,FALSE),"")</f>
        <v>لم يبدأ</v>
      </c>
    </row>
    <row r="112" spans="1:4" x14ac:dyDescent="0.3">
      <c r="A112" t="s">
        <v>239</v>
      </c>
      <c r="B112" t="s">
        <v>138</v>
      </c>
      <c r="C112" s="14">
        <f>IFERROR(VLOOKUP(A112,'متابعة المشاريع'!$A$2:$F$1003,6,FALSE),0)</f>
        <v>0</v>
      </c>
      <c r="D112" t="str">
        <f>IFERROR(VLOOKUP(A112,'متابعة المشاريع'!$A$2:$E$1003,5,FALSE),"")</f>
        <v>لم يبدأ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9"/>
  <sheetViews>
    <sheetView rightToLeft="1" workbookViewId="0">
      <selection activeCell="I11" sqref="I11"/>
    </sheetView>
  </sheetViews>
  <sheetFormatPr defaultRowHeight="14.4" x14ac:dyDescent="0.3"/>
  <cols>
    <col min="1" max="1" width="16" customWidth="1"/>
    <col min="2" max="2" width="17" customWidth="1"/>
    <col min="3" max="3" width="43" customWidth="1"/>
  </cols>
  <sheetData>
    <row r="1" spans="1:3" x14ac:dyDescent="0.3">
      <c r="A1" s="15" t="s">
        <v>7</v>
      </c>
      <c r="B1" s="15" t="s">
        <v>35</v>
      </c>
      <c r="C1" s="15" t="s">
        <v>633</v>
      </c>
    </row>
    <row r="2" spans="1:3" x14ac:dyDescent="0.3">
      <c r="A2" t="s">
        <v>107</v>
      </c>
      <c r="B2" t="s">
        <v>295</v>
      </c>
      <c r="C2" s="14">
        <f>IFERROR(VLOOKUP(B2,'متابعة المتطلبات'!$A$2:$K$47,11,FALSE),0)</f>
        <v>0.44155</v>
      </c>
    </row>
    <row r="3" spans="1:3" x14ac:dyDescent="0.3">
      <c r="A3" t="s">
        <v>117</v>
      </c>
      <c r="B3" t="s">
        <v>452</v>
      </c>
      <c r="C3" s="14">
        <f>IFERROR(VLOOKUP(B3,'متابعة المتطلبات'!$A$2:$K$47,11,FALSE),0)</f>
        <v>0.375</v>
      </c>
    </row>
    <row r="4" spans="1:3" x14ac:dyDescent="0.3">
      <c r="A4" t="s">
        <v>132</v>
      </c>
      <c r="B4" t="s">
        <v>52</v>
      </c>
      <c r="C4" s="14">
        <f>IFERROR(VLOOKUP(B4,'متابعة المتطلبات'!$A$2:$K$47,11,FALSE),0)</f>
        <v>0.1</v>
      </c>
    </row>
    <row r="5" spans="1:3" x14ac:dyDescent="0.3">
      <c r="A5" t="s">
        <v>138</v>
      </c>
      <c r="B5" t="s">
        <v>46</v>
      </c>
      <c r="C5" s="14">
        <f>IFERROR(VLOOKUP(B5,'متابعة المتطلبات'!$A$2:$K$47,11,FALSE),0)</f>
        <v>0</v>
      </c>
    </row>
    <row r="6" spans="1:3" x14ac:dyDescent="0.3">
      <c r="A6" t="s">
        <v>138</v>
      </c>
      <c r="B6" t="s">
        <v>354</v>
      </c>
      <c r="C6" s="14">
        <f>IFERROR(VLOOKUP(B6,'متابعة المتطلبات'!$A$2:$K$47,11,FALSE),0)</f>
        <v>0.2</v>
      </c>
    </row>
    <row r="7" spans="1:3" x14ac:dyDescent="0.3">
      <c r="A7" t="s">
        <v>138</v>
      </c>
      <c r="B7" t="s">
        <v>52</v>
      </c>
      <c r="C7" s="14">
        <f>IFERROR(VLOOKUP(B7,'متابعة المتطلبات'!$A$2:$K$47,11,FALSE),0)</f>
        <v>0.1</v>
      </c>
    </row>
    <row r="8" spans="1:3" x14ac:dyDescent="0.3">
      <c r="A8" t="s">
        <v>143</v>
      </c>
      <c r="B8" t="s">
        <v>44</v>
      </c>
      <c r="C8" s="14">
        <f>IFERROR(VLOOKUP(B8,'متابعة المتطلبات'!$A$2:$K$47,11,FALSE),0)</f>
        <v>0</v>
      </c>
    </row>
    <row r="9" spans="1:3" x14ac:dyDescent="0.3">
      <c r="A9" t="s">
        <v>143</v>
      </c>
      <c r="B9" t="s">
        <v>335</v>
      </c>
      <c r="C9" s="14">
        <f>IFERROR(VLOOKUP(B9,'متابعة المتطلبات'!$A$2:$K$47,11,FALSE),0)</f>
        <v>0.375</v>
      </c>
    </row>
    <row r="10" spans="1:3" x14ac:dyDescent="0.3">
      <c r="A10" t="s">
        <v>143</v>
      </c>
      <c r="B10" t="s">
        <v>481</v>
      </c>
      <c r="C10" s="14">
        <f>IFERROR(VLOOKUP(B10,'متابعة المتطلبات'!$A$2:$K$47,11,FALSE),0)</f>
        <v>0.375</v>
      </c>
    </row>
    <row r="11" spans="1:3" x14ac:dyDescent="0.3">
      <c r="A11" t="s">
        <v>146</v>
      </c>
      <c r="B11" t="s">
        <v>448</v>
      </c>
      <c r="C11" s="14">
        <f>IFERROR(VLOOKUP(B11,'متابعة المتطلبات'!$A$2:$K$47,11,FALSE),0)</f>
        <v>0.4</v>
      </c>
    </row>
    <row r="12" spans="1:3" x14ac:dyDescent="0.3">
      <c r="A12" t="s">
        <v>146</v>
      </c>
      <c r="B12" t="s">
        <v>443</v>
      </c>
      <c r="C12" s="14">
        <f>IFERROR(VLOOKUP(B12,'متابعة المتطلبات'!$A$2:$K$47,11,FALSE),0)</f>
        <v>0.4</v>
      </c>
    </row>
    <row r="13" spans="1:3" x14ac:dyDescent="0.3">
      <c r="A13" t="s">
        <v>146</v>
      </c>
      <c r="B13" t="s">
        <v>48</v>
      </c>
      <c r="C13" s="14">
        <f>IFERROR(VLOOKUP(B13,'متابعة المتطلبات'!$A$2:$K$47,11,FALSE),0)</f>
        <v>0</v>
      </c>
    </row>
    <row r="14" spans="1:3" x14ac:dyDescent="0.3">
      <c r="A14" t="s">
        <v>153</v>
      </c>
      <c r="B14" t="s">
        <v>508</v>
      </c>
      <c r="C14" s="14">
        <f>IFERROR(VLOOKUP(B14,'متابعة المتطلبات'!$A$2:$K$47,11,FALSE),0)</f>
        <v>0.75</v>
      </c>
    </row>
    <row r="15" spans="1:3" x14ac:dyDescent="0.3">
      <c r="A15" t="s">
        <v>159</v>
      </c>
      <c r="B15" t="s">
        <v>335</v>
      </c>
      <c r="C15" s="14">
        <f>IFERROR(VLOOKUP(B15,'متابعة المتطلبات'!$A$2:$K$47,11,FALSE),0)</f>
        <v>0.375</v>
      </c>
    </row>
    <row r="16" spans="1:3" x14ac:dyDescent="0.3">
      <c r="A16" t="s">
        <v>161</v>
      </c>
      <c r="B16" t="s">
        <v>406</v>
      </c>
      <c r="C16" s="14">
        <f>IFERROR(VLOOKUP(B16,'متابعة المتطلبات'!$A$2:$K$47,11,FALSE),0)</f>
        <v>0.35</v>
      </c>
    </row>
    <row r="17" spans="1:3" x14ac:dyDescent="0.3">
      <c r="A17" t="s">
        <v>161</v>
      </c>
      <c r="B17" t="s">
        <v>412</v>
      </c>
      <c r="C17" s="14">
        <f>IFERROR(VLOOKUP(B17,'متابعة المتطلبات'!$A$2:$K$47,11,FALSE),0)</f>
        <v>0.35</v>
      </c>
    </row>
    <row r="18" spans="1:3" x14ac:dyDescent="0.3">
      <c r="A18" t="s">
        <v>161</v>
      </c>
      <c r="B18" t="s">
        <v>38</v>
      </c>
      <c r="C18" s="14">
        <f>IFERROR(VLOOKUP(B18,'متابعة المتطلبات'!$A$2:$K$47,11,FALSE),0)</f>
        <v>0</v>
      </c>
    </row>
    <row r="19" spans="1:3" x14ac:dyDescent="0.3">
      <c r="A19" t="s">
        <v>163</v>
      </c>
      <c r="B19" t="s">
        <v>335</v>
      </c>
      <c r="C19" s="14">
        <f>IFERROR(VLOOKUP(B19,'متابعة المتطلبات'!$A$2:$K$47,11,FALSE),0)</f>
        <v>0.375</v>
      </c>
    </row>
    <row r="20" spans="1:3" x14ac:dyDescent="0.3">
      <c r="A20" t="s">
        <v>163</v>
      </c>
      <c r="B20" t="s">
        <v>477</v>
      </c>
      <c r="C20" s="14">
        <f>IFERROR(VLOOKUP(B20,'متابعة المتطلبات'!$A$2:$K$47,11,FALSE),0)</f>
        <v>0.375</v>
      </c>
    </row>
    <row r="21" spans="1:3" x14ac:dyDescent="0.3">
      <c r="A21" t="s">
        <v>165</v>
      </c>
      <c r="B21" t="s">
        <v>505</v>
      </c>
      <c r="C21" s="14">
        <f>IFERROR(VLOOKUP(B21,'متابعة المتطلبات'!$A$2:$K$47,11,FALSE),0)</f>
        <v>0.7</v>
      </c>
    </row>
    <row r="22" spans="1:3" x14ac:dyDescent="0.3">
      <c r="A22" t="s">
        <v>165</v>
      </c>
      <c r="B22" t="s">
        <v>500</v>
      </c>
      <c r="C22" s="14">
        <f>IFERROR(VLOOKUP(B22,'متابعة المتطلبات'!$A$2:$K$47,11,FALSE),0)</f>
        <v>0.44999999999999996</v>
      </c>
    </row>
    <row r="23" spans="1:3" x14ac:dyDescent="0.3">
      <c r="A23" t="s">
        <v>167</v>
      </c>
      <c r="B23" t="s">
        <v>346</v>
      </c>
      <c r="C23" s="14">
        <f>IFERROR(VLOOKUP(B23,'متابعة المتطلبات'!$A$2:$K$47,11,FALSE),0)</f>
        <v>0.7</v>
      </c>
    </row>
    <row r="24" spans="1:3" x14ac:dyDescent="0.3">
      <c r="A24" t="s">
        <v>167</v>
      </c>
      <c r="B24" t="s">
        <v>354</v>
      </c>
      <c r="C24" s="14">
        <f>IFERROR(VLOOKUP(B24,'متابعة المتطلبات'!$A$2:$K$47,11,FALSE),0)</f>
        <v>0.2</v>
      </c>
    </row>
    <row r="25" spans="1:3" x14ac:dyDescent="0.3">
      <c r="A25" t="s">
        <v>167</v>
      </c>
      <c r="B25" t="s">
        <v>52</v>
      </c>
      <c r="C25" s="14">
        <f>IFERROR(VLOOKUP(B25,'متابعة المتطلبات'!$A$2:$K$47,11,FALSE),0)</f>
        <v>0.1</v>
      </c>
    </row>
    <row r="26" spans="1:3" x14ac:dyDescent="0.3">
      <c r="A26" t="s">
        <v>169</v>
      </c>
      <c r="B26" t="s">
        <v>350</v>
      </c>
      <c r="C26" s="14">
        <f>IFERROR(VLOOKUP(B26,'متابعة المتطلبات'!$A$2:$K$47,11,FALSE),0)</f>
        <v>0.52500000000000002</v>
      </c>
    </row>
    <row r="27" spans="1:3" x14ac:dyDescent="0.3">
      <c r="A27" t="s">
        <v>169</v>
      </c>
      <c r="B27" t="s">
        <v>448</v>
      </c>
      <c r="C27" s="14">
        <f>IFERROR(VLOOKUP(B27,'متابعة المتطلبات'!$A$2:$K$47,11,FALSE),0)</f>
        <v>0.4</v>
      </c>
    </row>
    <row r="28" spans="1:3" x14ac:dyDescent="0.3">
      <c r="A28" t="s">
        <v>169</v>
      </c>
      <c r="B28" t="s">
        <v>443</v>
      </c>
      <c r="C28" s="14">
        <f>IFERROR(VLOOKUP(B28,'متابعة المتطلبات'!$A$2:$K$47,11,FALSE),0)</f>
        <v>0.4</v>
      </c>
    </row>
    <row r="29" spans="1:3" x14ac:dyDescent="0.3">
      <c r="A29" t="s">
        <v>171</v>
      </c>
      <c r="B29" t="s">
        <v>419</v>
      </c>
      <c r="C29" s="14">
        <f>IFERROR(VLOOKUP(B29,'متابعة المتطلبات'!$A$2:$K$47,11,FALSE),0)</f>
        <v>0.375</v>
      </c>
    </row>
    <row r="30" spans="1:3" x14ac:dyDescent="0.3">
      <c r="A30" t="s">
        <v>173</v>
      </c>
      <c r="B30" t="s">
        <v>56</v>
      </c>
      <c r="C30" s="14">
        <f>IFERROR(VLOOKUP(B30,'متابعة المتطلبات'!$A$2:$K$47,11,FALSE),0)</f>
        <v>0.125</v>
      </c>
    </row>
    <row r="31" spans="1:3" x14ac:dyDescent="0.3">
      <c r="A31" t="s">
        <v>173</v>
      </c>
      <c r="B31" t="s">
        <v>52</v>
      </c>
      <c r="C31" s="14">
        <f>IFERROR(VLOOKUP(B31,'متابعة المتطلبات'!$A$2:$K$47,11,FALSE),0)</f>
        <v>0.1</v>
      </c>
    </row>
    <row r="32" spans="1:3" x14ac:dyDescent="0.3">
      <c r="A32" t="s">
        <v>174</v>
      </c>
      <c r="B32" t="s">
        <v>461</v>
      </c>
      <c r="C32" s="14">
        <f>IFERROR(VLOOKUP(B32,'متابعة المتطلبات'!$A$2:$K$47,11,FALSE),0)</f>
        <v>0.45</v>
      </c>
    </row>
    <row r="33" spans="1:3" x14ac:dyDescent="0.3">
      <c r="A33" t="s">
        <v>176</v>
      </c>
      <c r="B33" t="s">
        <v>42</v>
      </c>
      <c r="C33" s="14">
        <f>IFERROR(VLOOKUP(B33,'متابعة المتطلبات'!$A$2:$K$47,11,FALSE),0)</f>
        <v>0</v>
      </c>
    </row>
    <row r="34" spans="1:3" x14ac:dyDescent="0.3">
      <c r="A34" t="s">
        <v>176</v>
      </c>
      <c r="B34" t="s">
        <v>427</v>
      </c>
      <c r="C34" s="14">
        <f>IFERROR(VLOOKUP(B34,'متابعة المتطلبات'!$A$2:$K$47,11,FALSE),0)</f>
        <v>0.75</v>
      </c>
    </row>
    <row r="35" spans="1:3" x14ac:dyDescent="0.3">
      <c r="A35" t="s">
        <v>178</v>
      </c>
      <c r="B35" t="s">
        <v>474</v>
      </c>
      <c r="C35" s="14">
        <f>IFERROR(VLOOKUP(B35,'متابعة المتطلبات'!$A$2:$K$47,11,FALSE),0)</f>
        <v>0.2</v>
      </c>
    </row>
    <row r="36" spans="1:3" x14ac:dyDescent="0.3">
      <c r="A36" t="s">
        <v>178</v>
      </c>
      <c r="B36" t="s">
        <v>54</v>
      </c>
      <c r="C36" s="14">
        <f>IFERROR(VLOOKUP(B36,'متابعة المتطلبات'!$A$2:$K$47,11,FALSE),0)</f>
        <v>0.1</v>
      </c>
    </row>
    <row r="37" spans="1:3" x14ac:dyDescent="0.3">
      <c r="A37" t="s">
        <v>180</v>
      </c>
      <c r="B37" t="s">
        <v>485</v>
      </c>
      <c r="C37" s="14">
        <f>IFERROR(VLOOKUP(B37,'متابعة المتطلبات'!$A$2:$K$47,11,FALSE),0)</f>
        <v>0.2</v>
      </c>
    </row>
    <row r="38" spans="1:3" x14ac:dyDescent="0.3">
      <c r="A38" t="s">
        <v>182</v>
      </c>
      <c r="B38" t="s">
        <v>490</v>
      </c>
      <c r="C38" s="14">
        <f>IFERROR(VLOOKUP(B38,'متابعة المتطلبات'!$A$2:$K$47,11,FALSE),0)</f>
        <v>0.44999999999999996</v>
      </c>
    </row>
    <row r="39" spans="1:3" x14ac:dyDescent="0.3">
      <c r="A39" t="s">
        <v>184</v>
      </c>
      <c r="B39" t="s">
        <v>427</v>
      </c>
      <c r="C39" s="14">
        <f>IFERROR(VLOOKUP(B39,'متابعة المتطلبات'!$A$2:$K$47,11,FALSE),0)</f>
        <v>0.75</v>
      </c>
    </row>
    <row r="40" spans="1:3" x14ac:dyDescent="0.3">
      <c r="A40" t="s">
        <v>187</v>
      </c>
      <c r="B40" t="s">
        <v>461</v>
      </c>
      <c r="C40" s="14">
        <f>IFERROR(VLOOKUP(B40,'متابعة المتطلبات'!$A$2:$K$47,11,FALSE),0)</f>
        <v>0.45</v>
      </c>
    </row>
    <row r="41" spans="1:3" x14ac:dyDescent="0.3">
      <c r="A41" t="s">
        <v>187</v>
      </c>
      <c r="B41" t="s">
        <v>456</v>
      </c>
      <c r="C41" s="14">
        <f>IFERROR(VLOOKUP(B41,'متابعة المتطلبات'!$A$2:$K$47,11,FALSE),0)</f>
        <v>0.75</v>
      </c>
    </row>
    <row r="42" spans="1:3" x14ac:dyDescent="0.3">
      <c r="A42" t="s">
        <v>188</v>
      </c>
      <c r="B42" t="s">
        <v>452</v>
      </c>
      <c r="C42" s="14">
        <f>IFERROR(VLOOKUP(B42,'متابعة المتطلبات'!$A$2:$K$47,11,FALSE),0)</f>
        <v>0.375</v>
      </c>
    </row>
    <row r="43" spans="1:3" x14ac:dyDescent="0.3">
      <c r="A43" t="s">
        <v>195</v>
      </c>
      <c r="B43" t="s">
        <v>310</v>
      </c>
      <c r="C43" s="14">
        <f>IFERROR(VLOOKUP(B43,'متابعة المتطلبات'!$A$2:$K$47,11,FALSE),0)</f>
        <v>0.5</v>
      </c>
    </row>
    <row r="44" spans="1:3" x14ac:dyDescent="0.3">
      <c r="A44" t="s">
        <v>196</v>
      </c>
      <c r="B44" t="s">
        <v>310</v>
      </c>
      <c r="C44" s="14">
        <f>IFERROR(VLOOKUP(B44,'متابعة المتطلبات'!$A$2:$K$47,11,FALSE),0)</f>
        <v>0.5</v>
      </c>
    </row>
    <row r="45" spans="1:3" x14ac:dyDescent="0.3">
      <c r="A45" t="s">
        <v>198</v>
      </c>
      <c r="B45" t="s">
        <v>363</v>
      </c>
      <c r="C45" s="14">
        <f>IFERROR(VLOOKUP(B45,'متابعة المتطلبات'!$A$2:$K$47,11,FALSE),0)</f>
        <v>0.4</v>
      </c>
    </row>
    <row r="46" spans="1:3" x14ac:dyDescent="0.3">
      <c r="A46" t="s">
        <v>16</v>
      </c>
      <c r="B46" t="s">
        <v>40</v>
      </c>
      <c r="C46" s="14">
        <f>IFERROR(VLOOKUP(B46,'متابعة المتطلبات'!$A$2:$K$47,11,FALSE),0)</f>
        <v>0</v>
      </c>
    </row>
    <row r="47" spans="1:3" x14ac:dyDescent="0.3">
      <c r="A47" t="s">
        <v>16</v>
      </c>
      <c r="B47" t="s">
        <v>50</v>
      </c>
      <c r="C47" s="14">
        <f>IFERROR(VLOOKUP(B47,'متابعة المتطلبات'!$A$2:$K$47,11,FALSE),0)</f>
        <v>0</v>
      </c>
    </row>
    <row r="48" spans="1:3" x14ac:dyDescent="0.3">
      <c r="A48" t="s">
        <v>18</v>
      </c>
      <c r="B48" t="s">
        <v>40</v>
      </c>
      <c r="C48" s="14">
        <f>IFERROR(VLOOKUP(B48,'متابعة المتطلبات'!$A$2:$K$47,11,FALSE),0)</f>
        <v>0</v>
      </c>
    </row>
    <row r="49" spans="1:3" x14ac:dyDescent="0.3">
      <c r="A49" t="s">
        <v>204</v>
      </c>
      <c r="B49" t="s">
        <v>378</v>
      </c>
      <c r="C49" s="14">
        <f>IFERROR(VLOOKUP(B49,'متابعة المتطلبات'!$A$2:$K$47,11,FALSE),0)</f>
        <v>0.42500000000000004</v>
      </c>
    </row>
    <row r="50" spans="1:3" x14ac:dyDescent="0.3">
      <c r="A50" t="s">
        <v>206</v>
      </c>
      <c r="B50" t="s">
        <v>378</v>
      </c>
      <c r="C50" s="14">
        <f>IFERROR(VLOOKUP(B50,'متابعة المتطلبات'!$A$2:$K$47,11,FALSE),0)</f>
        <v>0.42500000000000004</v>
      </c>
    </row>
    <row r="51" spans="1:3" x14ac:dyDescent="0.3">
      <c r="A51" t="s">
        <v>207</v>
      </c>
      <c r="B51" t="s">
        <v>293</v>
      </c>
      <c r="C51" s="14">
        <f>IFERROR(VLOOKUP(B51,'متابعة المتطلبات'!$A$2:$K$47,11,FALSE),0)</f>
        <v>0.45</v>
      </c>
    </row>
    <row r="52" spans="1:3" x14ac:dyDescent="0.3">
      <c r="A52" t="s">
        <v>209</v>
      </c>
      <c r="B52" t="s">
        <v>401</v>
      </c>
      <c r="C52" s="14">
        <f>IFERROR(VLOOKUP(B52,'متابعة المتطلبات'!$A$2:$K$47,11,FALSE),0)</f>
        <v>0.2</v>
      </c>
    </row>
    <row r="53" spans="1:3" x14ac:dyDescent="0.3">
      <c r="A53" t="s">
        <v>211</v>
      </c>
      <c r="B53" t="s">
        <v>56</v>
      </c>
      <c r="C53" s="14">
        <f>IFERROR(VLOOKUP(B53,'متابعة المتطلبات'!$A$2:$K$47,11,FALSE),0)</f>
        <v>0.125</v>
      </c>
    </row>
    <row r="54" spans="1:3" x14ac:dyDescent="0.3">
      <c r="A54" t="s">
        <v>20</v>
      </c>
      <c r="B54" t="s">
        <v>50</v>
      </c>
      <c r="C54" s="14">
        <f>IFERROR(VLOOKUP(B54,'متابعة المتطلبات'!$A$2:$K$47,11,FALSE),0)</f>
        <v>0</v>
      </c>
    </row>
    <row r="55" spans="1:3" x14ac:dyDescent="0.3">
      <c r="A55" t="s">
        <v>213</v>
      </c>
      <c r="B55" t="s">
        <v>374</v>
      </c>
      <c r="C55" s="14">
        <f>IFERROR(VLOOKUP(B55,'متابعة المتطلبات'!$A$2:$K$47,11,FALSE),0)</f>
        <v>0.4</v>
      </c>
    </row>
    <row r="56" spans="1:3" x14ac:dyDescent="0.3">
      <c r="A56" t="s">
        <v>234</v>
      </c>
      <c r="B56" t="s">
        <v>374</v>
      </c>
      <c r="C56" s="14">
        <f>IFERROR(VLOOKUP(B56,'متابعة المتطلبات'!$A$2:$K$47,11,FALSE),0)</f>
        <v>0.4</v>
      </c>
    </row>
    <row r="57" spans="1:3" x14ac:dyDescent="0.3">
      <c r="A57" t="s">
        <v>240</v>
      </c>
      <c r="B57" t="s">
        <v>378</v>
      </c>
      <c r="C57" s="14">
        <f>IFERROR(VLOOKUP(B57,'متابعة المتطلبات'!$A$2:$K$47,11,FALSE),0)</f>
        <v>0.42500000000000004</v>
      </c>
    </row>
    <row r="58" spans="1:3" x14ac:dyDescent="0.3">
      <c r="A58" t="s">
        <v>14</v>
      </c>
      <c r="B58" t="s">
        <v>46</v>
      </c>
      <c r="C58" s="14">
        <f>IFERROR(VLOOKUP(B58,'متابعة المتطلبات'!$A$2:$K$47,11,FALSE),0)</f>
        <v>0</v>
      </c>
    </row>
    <row r="59" spans="1:3" x14ac:dyDescent="0.3">
      <c r="A59" t="s">
        <v>245</v>
      </c>
      <c r="B59" t="s">
        <v>435</v>
      </c>
      <c r="C59" s="14">
        <f>IFERROR(VLOOKUP(B59,'متابعة المتطلبات'!$A$2:$K$47,11,FALSE),0)</f>
        <v>0.47499999999999998</v>
      </c>
    </row>
    <row r="60" spans="1:3" x14ac:dyDescent="0.3">
      <c r="A60" t="s">
        <v>245</v>
      </c>
      <c r="B60" t="s">
        <v>440</v>
      </c>
      <c r="C60" s="14">
        <f>IFERROR(VLOOKUP(B60,'متابعة المتطلبات'!$A$2:$K$47,11,FALSE),0)</f>
        <v>0.75</v>
      </c>
    </row>
    <row r="61" spans="1:3" x14ac:dyDescent="0.3">
      <c r="A61" t="s">
        <v>247</v>
      </c>
      <c r="B61" t="s">
        <v>346</v>
      </c>
      <c r="C61" s="14">
        <f>IFERROR(VLOOKUP(B61,'متابعة المتطلبات'!$A$2:$K$47,11,FALSE),0)</f>
        <v>0.7</v>
      </c>
    </row>
    <row r="62" spans="1:3" x14ac:dyDescent="0.3">
      <c r="A62" t="s">
        <v>247</v>
      </c>
      <c r="B62" t="s">
        <v>485</v>
      </c>
      <c r="C62" s="14">
        <f>IFERROR(VLOOKUP(B62,'متابعة المتطلبات'!$A$2:$K$47,11,FALSE),0)</f>
        <v>0.2</v>
      </c>
    </row>
    <row r="63" spans="1:3" x14ac:dyDescent="0.3">
      <c r="A63" t="s">
        <v>247</v>
      </c>
      <c r="B63" t="s">
        <v>490</v>
      </c>
      <c r="C63" s="14">
        <f>IFERROR(VLOOKUP(B63,'متابعة المتطلبات'!$A$2:$K$47,11,FALSE),0)</f>
        <v>0.44999999999999996</v>
      </c>
    </row>
    <row r="64" spans="1:3" x14ac:dyDescent="0.3">
      <c r="A64" t="s">
        <v>247</v>
      </c>
      <c r="B64" t="s">
        <v>435</v>
      </c>
      <c r="C64" s="14">
        <f>IFERROR(VLOOKUP(B64,'متابعة المتطلبات'!$A$2:$K$47,11,FALSE),0)</f>
        <v>0.47499999999999998</v>
      </c>
    </row>
    <row r="65" spans="1:3" x14ac:dyDescent="0.3">
      <c r="A65" t="s">
        <v>249</v>
      </c>
      <c r="B65" t="s">
        <v>293</v>
      </c>
      <c r="C65" s="14">
        <f>IFERROR(VLOOKUP(B65,'متابعة المتطلبات'!$A$2:$K$47,11,FALSE),0)</f>
        <v>0.45</v>
      </c>
    </row>
    <row r="66" spans="1:3" x14ac:dyDescent="0.3">
      <c r="A66" t="s">
        <v>251</v>
      </c>
      <c r="B66" t="s">
        <v>295</v>
      </c>
      <c r="C66" s="14">
        <f>IFERROR(VLOOKUP(B66,'متابعة المتطلبات'!$A$2:$K$47,11,FALSE),0)</f>
        <v>0.44155</v>
      </c>
    </row>
    <row r="67" spans="1:3" x14ac:dyDescent="0.3">
      <c r="A67" t="s">
        <v>255</v>
      </c>
      <c r="B67" t="s">
        <v>293</v>
      </c>
      <c r="C67" s="14">
        <f>IFERROR(VLOOKUP(B67,'متابعة المتطلبات'!$A$2:$K$47,11,FALSE),0)</f>
        <v>0.45</v>
      </c>
    </row>
    <row r="68" spans="1:3" x14ac:dyDescent="0.3">
      <c r="A68" t="s">
        <v>256</v>
      </c>
      <c r="B68" t="s">
        <v>310</v>
      </c>
      <c r="C68" s="14">
        <f>IFERROR(VLOOKUP(B68,'متابعة المتطلبات'!$A$2:$K$47,11,FALSE),0)</f>
        <v>0.5</v>
      </c>
    </row>
    <row r="69" spans="1:3" x14ac:dyDescent="0.3">
      <c r="A69" t="s">
        <v>257</v>
      </c>
      <c r="B69" t="s">
        <v>310</v>
      </c>
      <c r="C69" s="14">
        <f>IFERROR(VLOOKUP(B69,'متابعة المتطلبات'!$A$2:$K$47,11,FALSE),0)</f>
        <v>0.5</v>
      </c>
    </row>
    <row r="70" spans="1:3" x14ac:dyDescent="0.3">
      <c r="A70" t="s">
        <v>258</v>
      </c>
      <c r="B70" t="s">
        <v>363</v>
      </c>
      <c r="C70" s="14">
        <f>IFERROR(VLOOKUP(B70,'متابعة المتطلبات'!$A$2:$K$47,11,FALSE),0)</f>
        <v>0.4</v>
      </c>
    </row>
    <row r="71" spans="1:3" x14ac:dyDescent="0.3">
      <c r="A71" t="s">
        <v>22</v>
      </c>
      <c r="B71" t="s">
        <v>40</v>
      </c>
      <c r="C71" s="14">
        <f>IFERROR(VLOOKUP(B71,'متابعة المتطلبات'!$A$2:$K$47,11,FALSE),0)</f>
        <v>0</v>
      </c>
    </row>
    <row r="72" spans="1:3" x14ac:dyDescent="0.3">
      <c r="A72" t="s">
        <v>260</v>
      </c>
      <c r="B72" t="s">
        <v>285</v>
      </c>
      <c r="C72" s="14">
        <f>IFERROR(VLOOKUP(B72,'متابعة المتطلبات'!$A$2:$K$47,11,FALSE),0)</f>
        <v>0.55000000000000004</v>
      </c>
    </row>
    <row r="73" spans="1:3" x14ac:dyDescent="0.3">
      <c r="A73" t="s">
        <v>261</v>
      </c>
      <c r="B73" t="s">
        <v>290</v>
      </c>
      <c r="C73" s="14">
        <f>IFERROR(VLOOKUP(B73,'متابعة المتطلبات'!$A$2:$K$47,11,FALSE),0)</f>
        <v>0.25</v>
      </c>
    </row>
    <row r="74" spans="1:3" x14ac:dyDescent="0.3">
      <c r="A74" t="s">
        <v>262</v>
      </c>
      <c r="B74" t="s">
        <v>324</v>
      </c>
      <c r="C74" s="14">
        <f>IFERROR(VLOOKUP(B74,'متابعة المتطلبات'!$A$2:$K$47,11,FALSE),0)</f>
        <v>0.2</v>
      </c>
    </row>
    <row r="75" spans="1:3" x14ac:dyDescent="0.3">
      <c r="A75" t="s">
        <v>263</v>
      </c>
      <c r="B75" t="s">
        <v>401</v>
      </c>
      <c r="C75" s="14">
        <f>IFERROR(VLOOKUP(B75,'متابعة المتطلبات'!$A$2:$K$47,11,FALSE),0)</f>
        <v>0.2</v>
      </c>
    </row>
    <row r="76" spans="1:3" x14ac:dyDescent="0.3">
      <c r="A76" t="s">
        <v>263</v>
      </c>
      <c r="B76" t="s">
        <v>321</v>
      </c>
      <c r="C76" s="14">
        <f>IFERROR(VLOOKUP(B76,'متابعة المتطلبات'!$A$2:$K$47,11,FALSE),0)</f>
        <v>0</v>
      </c>
    </row>
    <row r="77" spans="1:3" x14ac:dyDescent="0.3">
      <c r="A77" t="s">
        <v>264</v>
      </c>
      <c r="B77" t="s">
        <v>290</v>
      </c>
      <c r="C77" s="14">
        <f>IFERROR(VLOOKUP(B77,'متابعة المتطلبات'!$A$2:$K$47,11,FALSE),0)</f>
        <v>0.25</v>
      </c>
    </row>
    <row r="78" spans="1:3" x14ac:dyDescent="0.3">
      <c r="A78" t="s">
        <v>264</v>
      </c>
      <c r="B78" t="s">
        <v>288</v>
      </c>
      <c r="C78" s="14">
        <f>IFERROR(VLOOKUP(B78,'متابعة المتطلبات'!$A$2:$K$47,11,FALSE),0)</f>
        <v>0.45</v>
      </c>
    </row>
    <row r="79" spans="1:3" x14ac:dyDescent="0.3">
      <c r="A79" t="s">
        <v>267</v>
      </c>
      <c r="B79" t="s">
        <v>288</v>
      </c>
      <c r="C79" s="14">
        <f>IFERROR(VLOOKUP(B79,'متابعة المتطلبات'!$A$2:$K$47,11,FALSE),0)</f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تعريف</vt:lpstr>
      <vt:lpstr>قوائم</vt:lpstr>
      <vt:lpstr>متابعة المشاريع</vt:lpstr>
      <vt:lpstr>متابعة المتطلبات</vt:lpstr>
      <vt:lpstr>الفجوات</vt:lpstr>
      <vt:lpstr>Link_Project_Req</vt:lpstr>
      <vt:lpstr>Link_Project_Gap</vt:lpstr>
      <vt:lpstr>Link_Gap_Req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 Rehan</dc:creator>
  <cp:lastModifiedBy>Ali Hussein</cp:lastModifiedBy>
  <dcterms:created xsi:type="dcterms:W3CDTF">2026-02-03T15:34:53Z</dcterms:created>
  <dcterms:modified xsi:type="dcterms:W3CDTF">2026-02-16T13:28:07Z</dcterms:modified>
</cp:coreProperties>
</file>