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ropbox\Dropbox\هيئة تقويم التعليم والتدريب - شهادة اعتماد\Hani\"/>
    </mc:Choice>
  </mc:AlternateContent>
  <xr:revisionPtr revIDLastSave="0" documentId="8_{981E15C7-E877-4E50-8375-0C549DA9CCEF}" xr6:coauthVersionLast="47" xr6:coauthVersionMax="47" xr10:uidLastSave="{00000000-0000-0000-0000-000000000000}"/>
  <bookViews>
    <workbookView xWindow="-108" yWindow="-108" windowWidth="23256" windowHeight="12456" tabRatio="500" xr2:uid="{00000000-000D-0000-FFFF-FFFF00000000}"/>
  </bookViews>
  <sheets>
    <sheet name="مصفوفة الربط" sheetId="2" r:id="rId1"/>
    <sheet name="ملخص التغطية" sheetId="3" state="hidden" r:id="rId2"/>
    <sheet name="مرجع الأهداف" sheetId="4" state="hidden" r:id="rId3"/>
    <sheet name="مرجع المتطلبات" sheetId="5" state="hidden" r:id="rId4"/>
    <sheet name="مرجع الفجوات" sheetId="6" state="hidden" r:id="rId5"/>
  </sheets>
  <definedNames>
    <definedName name="_xlnm._FilterDatabase" localSheetId="0" hidden="1">'مصفوفة الربط'!$A$1:$T$126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4" i="6" l="1"/>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C27" i="4"/>
  <c r="C26" i="4"/>
  <c r="C25" i="4"/>
  <c r="C24" i="4"/>
  <c r="C23" i="4"/>
  <c r="C22" i="4"/>
  <c r="C17" i="4"/>
  <c r="C16" i="4"/>
  <c r="C15" i="4"/>
  <c r="C14" i="4"/>
  <c r="C13" i="4"/>
  <c r="C12" i="4"/>
  <c r="C8" i="4"/>
  <c r="C7" i="4"/>
  <c r="C6" i="4"/>
  <c r="C5" i="4"/>
  <c r="C4" i="4"/>
  <c r="C3" i="4"/>
  <c r="D18" i="3"/>
  <c r="C18" i="3"/>
</calcChain>
</file>

<file path=xl/sharedStrings.xml><?xml version="1.0" encoding="utf-8"?>
<sst xmlns="http://schemas.openxmlformats.org/spreadsheetml/2006/main" count="2435" uniqueCount="1115">
  <si>
    <t>م</t>
  </si>
  <si>
    <t>اسم المشروع</t>
  </si>
  <si>
    <t>هدف البنية المؤسسية المرتبط</t>
  </si>
  <si>
    <t>هدف التحول الرقمي المرتبط</t>
  </si>
  <si>
    <t>مبادرة التحول الرقمي المرتبطة</t>
  </si>
  <si>
    <t>الفجوات المرتبطة</t>
  </si>
  <si>
    <t>المتطلبات المرتبطة</t>
  </si>
  <si>
    <t>وصف المشروع</t>
  </si>
  <si>
    <t>فوائد المشروع</t>
  </si>
  <si>
    <t>المشاريع المرتبطة</t>
  </si>
  <si>
    <t>الإدارة المالكة للمشروع</t>
  </si>
  <si>
    <r>
      <rPr>
        <b/>
        <sz val="11"/>
        <color rgb="FFFFFFFF"/>
        <rFont val="FreeSans"/>
        <family val="2"/>
      </rPr>
      <t xml:space="preserve">المورد </t>
    </r>
    <r>
      <rPr>
        <b/>
        <sz val="11"/>
        <color rgb="FFFFFFFF"/>
        <rFont val="Calibri"/>
        <family val="2"/>
      </rPr>
      <t xml:space="preserve">/ </t>
    </r>
    <r>
      <rPr>
        <b/>
        <sz val="11"/>
        <color rgb="FFFFFFFF"/>
        <rFont val="FreeSans"/>
        <family val="2"/>
      </rPr>
      <t>المقاول</t>
    </r>
  </si>
  <si>
    <t>مجال المشروع</t>
  </si>
  <si>
    <r>
      <rPr>
        <b/>
        <sz val="11"/>
        <color rgb="FFFFFFFF"/>
        <rFont val="FreeSans"/>
        <family val="2"/>
      </rPr>
      <t xml:space="preserve">طبيعة المشروع </t>
    </r>
    <r>
      <rPr>
        <b/>
        <sz val="11"/>
        <color rgb="FFFFFFFF"/>
        <rFont val="Calibri"/>
        <family val="2"/>
      </rPr>
      <t>(</t>
    </r>
    <r>
      <rPr>
        <b/>
        <sz val="11"/>
        <color rgb="FFFFFFFF"/>
        <rFont val="FreeSans"/>
        <family val="2"/>
      </rPr>
      <t>رأسمالي</t>
    </r>
    <r>
      <rPr>
        <b/>
        <sz val="11"/>
        <color rgb="FFFFFFFF"/>
        <rFont val="Calibri"/>
        <family val="2"/>
      </rPr>
      <t>/</t>
    </r>
    <r>
      <rPr>
        <b/>
        <sz val="11"/>
        <color rgb="FFFFFFFF"/>
        <rFont val="FreeSans"/>
        <family val="2"/>
      </rPr>
      <t>تشغيلي</t>
    </r>
    <r>
      <rPr>
        <b/>
        <sz val="11"/>
        <color rgb="FFFFFFFF"/>
        <rFont val="Calibri"/>
        <family val="2"/>
      </rPr>
      <t>)</t>
    </r>
  </si>
  <si>
    <t>الأولوية</t>
  </si>
  <si>
    <t>تاريخ بداية المشروع</t>
  </si>
  <si>
    <t>تاريخ نهاية المشروع</t>
  </si>
  <si>
    <t>حالة المشروع</t>
  </si>
  <si>
    <r>
      <rPr>
        <b/>
        <sz val="11"/>
        <color rgb="FFFFFFFF"/>
        <rFont val="FreeSans"/>
        <family val="2"/>
      </rPr>
      <t xml:space="preserve">نسبة الإنجاز </t>
    </r>
    <r>
      <rPr>
        <b/>
        <sz val="11"/>
        <color rgb="FFFFFFFF"/>
        <rFont val="Calibri"/>
        <family val="2"/>
      </rPr>
      <t>%</t>
    </r>
  </si>
  <si>
    <r>
      <rPr>
        <b/>
        <sz val="11"/>
        <color rgb="FFFFFFFF"/>
        <rFont val="FreeSans"/>
        <family val="2"/>
      </rPr>
      <t xml:space="preserve">التكلفة </t>
    </r>
    <r>
      <rPr>
        <b/>
        <sz val="11"/>
        <color rgb="FFFFFFFF"/>
        <rFont val="Calibri"/>
        <family val="2"/>
      </rPr>
      <t>(</t>
    </r>
    <r>
      <rPr>
        <b/>
        <sz val="11"/>
        <color rgb="FFFFFFFF"/>
        <rFont val="FreeSans"/>
        <family val="2"/>
      </rPr>
      <t>ريال</t>
    </r>
    <r>
      <rPr>
        <b/>
        <sz val="11"/>
        <color rgb="FFFFFFFF"/>
        <rFont val="Calibri"/>
        <family val="2"/>
      </rPr>
      <t>)</t>
    </r>
  </si>
  <si>
    <t>مشروع تجديد رخصة منتجات مايكروسوفت</t>
  </si>
  <si>
    <t>2. تعزيز الكفاءة التشغيلية وكفاءة الإنفاق
4. دعم تحسين تجربة المستفيد
5. تعزيز الحوكمة المؤسسية</t>
  </si>
  <si>
    <t>1. الامتثال للسياسات ذات العلاقة بمجال البيانات والتحول الرقمي الناشئ من أنظمة الهيئة وخدماتها، ومع تعزيز الاستفادة من البيانات والأنظمة لدعم أعمال الهيئة
5. تحقيق التميز في تقديم الخدمات الرقمية من خلال التوسع في رقمنة الخدمات، وتحسين تجربة المستفيدين بما يضمن الامتثال لمعايير الحكومة الرقمية
6. تنظيم الاستفادة من البنية التحتية التقنية بما يضمن استمرارية الأعمال وحوكمة الكفاءة التشغيلية</t>
  </si>
  <si>
    <r>
      <rPr>
        <sz val="9"/>
        <color rgb="FF1F2937"/>
        <rFont val="FreeSans"/>
        <family val="2"/>
      </rPr>
      <t xml:space="preserve">ترشيد الإنفاق التقني وإدارة الرخص بفعالية
◂ </t>
    </r>
    <r>
      <rPr>
        <sz val="9"/>
        <color rgb="FF1F2937"/>
        <rFont val="Calibri"/>
        <family val="2"/>
      </rPr>
      <t>2. مبادرة الجاهزية التشغيلية واستمرارية الأعمال</t>
    </r>
  </si>
  <si>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r>
      <rPr>
        <sz val="9"/>
        <color rgb="FF1F2937"/>
        <rFont val="FreeSans"/>
        <family val="2"/>
      </rPr>
      <t xml:space="preserve">، </t>
    </r>
    <r>
      <rPr>
        <sz val="9"/>
        <color rgb="FF1F2937"/>
        <rFont val="Calibri"/>
        <family val="2"/>
      </rPr>
      <t>GAP-T-12</t>
    </r>
  </si>
  <si>
    <r>
      <rPr>
        <sz val="9"/>
        <color rgb="FF1F2937"/>
        <rFont val="Calibri"/>
        <family val="2"/>
      </rPr>
      <t>BR18</t>
    </r>
    <r>
      <rPr>
        <sz val="9"/>
        <color rgb="FF1F2937"/>
        <rFont val="FreeSans"/>
        <family val="2"/>
      </rPr>
      <t xml:space="preserve">، </t>
    </r>
    <r>
      <rPr>
        <sz val="9"/>
        <color rgb="FF1F2937"/>
        <rFont val="Calibri"/>
        <family val="2"/>
      </rPr>
      <t>TR03</t>
    </r>
  </si>
  <si>
    <t>تجديد رخصة مننتجات مايكروسوفت — مشروع تجديد رخصة منتجات مايكروسوفت</t>
  </si>
  <si>
    <t>ضمان استمرارية دعم الأنظمة الحيوية.
الحفاظ على الأمان والتحديثات.
الامتثال للمتطلبات القانونية والترخيصية.
تقليل مخاطر انقطاع الخدمة أو الثغرات.</t>
  </si>
  <si>
    <t>• تجديد دعم منتجات مايكروسوفت بريمير ( تجديد عقد )
• مشروع شراء وتجديد رخص البرامج في هيئة تقويم التعليم والتدريب
• مشروع تنفيذ بند تشغيل وصيانة البنية التقنية لمنافسة مشروع تشغيل وصيانة البنية التقنية والبيانات وتطبيق الذكاء(تجديد العقد)</t>
  </si>
  <si>
    <t>الإدارة العامة لتقنية المعلومات</t>
  </si>
  <si>
    <t>—</t>
  </si>
  <si>
    <t>التقنية</t>
  </si>
  <si>
    <t>تشغيلي</t>
  </si>
  <si>
    <t>متوسطة</t>
  </si>
  <si>
    <t>قائم</t>
  </si>
  <si>
    <r>
      <rPr>
        <sz val="9"/>
        <color rgb="FF1F2937"/>
        <rFont val="FreeSans"/>
        <family val="2"/>
      </rPr>
      <t xml:space="preserve">تجديد دعم منتجات مايكروسوفت بريمير </t>
    </r>
    <r>
      <rPr>
        <sz val="9"/>
        <color rgb="FF1F2937"/>
        <rFont val="Calibri"/>
        <family val="2"/>
      </rPr>
      <t xml:space="preserve">( </t>
    </r>
    <r>
      <rPr>
        <sz val="9"/>
        <color rgb="FF1F2937"/>
        <rFont val="FreeSans"/>
        <family val="2"/>
      </rPr>
      <t xml:space="preserve">تجديد عقد </t>
    </r>
    <r>
      <rPr>
        <sz val="9"/>
        <color rgb="FF1F2937"/>
        <rFont val="Calibri"/>
        <family val="2"/>
      </rPr>
      <t>)</t>
    </r>
  </si>
  <si>
    <r>
      <rPr>
        <sz val="9"/>
        <color rgb="FF1F2937"/>
        <rFont val="Calibri"/>
        <family val="2"/>
      </rPr>
      <t xml:space="preserve">2. </t>
    </r>
    <r>
      <rPr>
        <sz val="9"/>
        <color rgb="FF1F2937"/>
        <rFont val="FreeSans"/>
        <family val="2"/>
      </rPr>
      <t>تعزيز الكفاءة التشغيلية وكفاءة الإنفاق</t>
    </r>
  </si>
  <si>
    <t>1. الامتثال للسياسات ذات العلاقة بمجال البيانات والتحول الرقمي الناشئ من أنظمة الهيئة وخدماتها، ومع تعزيز الاستفادة من البيانات والأنظمة لدعم أعمال الهيئة
6. تنظيم الاستفادة من البنية التحتية التقنية بما يضمن استمرارية الأعمال وحوكمة الكفاءة التشغيلية</t>
  </si>
  <si>
    <r>
      <rPr>
        <sz val="9"/>
        <color rgb="FF1F2937"/>
        <rFont val="Calibri"/>
        <family val="2"/>
      </rPr>
      <t xml:space="preserve">◂ 2. </t>
    </r>
    <r>
      <rPr>
        <sz val="9"/>
        <color rgb="FF1F2937"/>
        <rFont val="FreeSans"/>
        <family val="2"/>
      </rPr>
      <t>مبادرة الجاهزية التشغيلية واستمرارية الأعمال</t>
    </r>
  </si>
  <si>
    <r>
      <rPr>
        <sz val="9"/>
        <color rgb="FF1F2937"/>
        <rFont val="Calibri"/>
        <family val="2"/>
      </rPr>
      <t>GAP-A-05</t>
    </r>
    <r>
      <rPr>
        <sz val="9"/>
        <color rgb="FF1F2937"/>
        <rFont val="FreeSans"/>
        <family val="2"/>
      </rPr>
      <t xml:space="preserve">، </t>
    </r>
    <r>
      <rPr>
        <sz val="9"/>
        <color rgb="FF1F2937"/>
        <rFont val="Calibri"/>
        <family val="2"/>
      </rPr>
      <t>GAP-T-12</t>
    </r>
    <r>
      <rPr>
        <sz val="9"/>
        <color rgb="FF1F2937"/>
        <rFont val="FreeSans"/>
        <family val="2"/>
      </rPr>
      <t xml:space="preserve">، </t>
    </r>
    <r>
      <rPr>
        <sz val="9"/>
        <color rgb="FF1F2937"/>
        <rFont val="Calibri"/>
        <family val="2"/>
      </rPr>
      <t>GAP-T-14</t>
    </r>
  </si>
  <si>
    <r>
      <rPr>
        <sz val="9"/>
        <color rgb="FF1F2937"/>
        <rFont val="Calibri"/>
        <family val="2"/>
      </rPr>
      <t>AR07</t>
    </r>
    <r>
      <rPr>
        <sz val="9"/>
        <color rgb="FF1F2937"/>
        <rFont val="FreeSans"/>
        <family val="2"/>
      </rPr>
      <t xml:space="preserve">، </t>
    </r>
    <r>
      <rPr>
        <sz val="9"/>
        <color rgb="FF1F2937"/>
        <rFont val="Calibri"/>
        <family val="2"/>
      </rPr>
      <t>BR10</t>
    </r>
    <r>
      <rPr>
        <sz val="9"/>
        <color rgb="FF1F2937"/>
        <rFont val="FreeSans"/>
        <family val="2"/>
      </rPr>
      <t xml:space="preserve">، </t>
    </r>
    <r>
      <rPr>
        <sz val="9"/>
        <color rgb="FF1F2937"/>
        <rFont val="Calibri"/>
        <family val="2"/>
      </rPr>
      <t>TR03</t>
    </r>
  </si>
  <si>
    <t>تجديد رخص دعم مايكروسوفت بريمير</t>
  </si>
  <si>
    <t>استمرارية دعم الأنظمة الحيوية • الحفاظ على الأمان والتحديثات • الامتثال للمتطلبات التعاقدية</t>
  </si>
  <si>
    <t>• مشروع تجديد رخصة منتجات مايكروسوفت
• تجديد رخص أنظمة
• تأمين خدمة الرسائل النصية لهيئة تقويم التعليم والتدريب (تجديد العقد)</t>
  </si>
  <si>
    <t>لم يبدأ</t>
  </si>
  <si>
    <t>توريد أجهزة الجدار الناري والرخص الخاصة بها</t>
  </si>
  <si>
    <r>
      <rPr>
        <sz val="9"/>
        <color rgb="FF1F2937"/>
        <rFont val="Calibri"/>
        <family val="2"/>
      </rPr>
      <t xml:space="preserve">◂ 3. </t>
    </r>
    <r>
      <rPr>
        <sz val="9"/>
        <color rgb="FF1F2937"/>
        <rFont val="FreeSans"/>
        <family val="2"/>
      </rPr>
      <t>مبادرة تعزيز كفاءة واستدامة البنية التحتية التقنية</t>
    </r>
  </si>
  <si>
    <r>
      <rPr>
        <sz val="9"/>
        <color rgb="FF1F2937"/>
        <rFont val="Calibri"/>
        <family val="2"/>
      </rPr>
      <t>GAP-T-11</t>
    </r>
    <r>
      <rPr>
        <sz val="9"/>
        <color rgb="FF1F2937"/>
        <rFont val="FreeSans"/>
        <family val="2"/>
      </rPr>
      <t xml:space="preserve">، </t>
    </r>
    <r>
      <rPr>
        <sz val="9"/>
        <color rgb="FF1F2937"/>
        <rFont val="Calibri"/>
        <family val="2"/>
      </rPr>
      <t>GAP-T-12</t>
    </r>
  </si>
  <si>
    <t>لايوجد نطاق او وصف</t>
  </si>
  <si>
    <t>• توريد وتركيب وترقية أجهزة موزع الأحمال والرخص الخاصة بها</t>
  </si>
  <si>
    <t>رأسمالي</t>
  </si>
  <si>
    <t>24/7/2023</t>
  </si>
  <si>
    <t>24/7/2026</t>
  </si>
  <si>
    <t>تقديم الخدمات الاستشارية لقطاع البيانات والتحول الرقمي</t>
  </si>
  <si>
    <t>1. دعم اتخاذ القرارات
2. تعزيز الكفاءة التشغيلية وكفاءة الإنفاق
3. تمكين التحول الرقمي</t>
  </si>
  <si>
    <t>1. الامتثال للسياسات ذات العلاقة بمجال البيانات والتحول الرقمي الناشئ من أنظمة الهيئة وخدماتها، ومع تعزيز الاستفادة من البيانات والأنظمة لدعم أعمال الهيئة
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
4. بناء قدرات رقمية وطنية وتمكين الكفاءات المتخصصة والعامة في مجال البيانات والتحول الرقمي، من خلال مسارات تدريبية مستهدفة متوافقة مع معايير بناء الكفاءات</t>
  </si>
  <si>
    <r>
      <rPr>
        <sz val="9"/>
        <color rgb="FF1F2937"/>
        <rFont val="FreeSans"/>
        <family val="2"/>
      </rPr>
      <t xml:space="preserve">تنفيذ خطة التحول الرقمية وتطبيقها
◂ </t>
    </r>
    <r>
      <rPr>
        <sz val="9"/>
        <color rgb="FF1F2937"/>
        <rFont val="Calibri"/>
        <family val="2"/>
      </rPr>
      <t>3. مبادرة تعزيز كفاءة واستدامة البنية التحتية التقنية</t>
    </r>
  </si>
  <si>
    <r>
      <rPr>
        <sz val="9"/>
        <color rgb="FF1F2937"/>
        <rFont val="Calibri"/>
        <family val="2"/>
      </rPr>
      <t>GAP-B-14</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GAP-T-15</t>
    </r>
    <r>
      <rPr>
        <sz val="9"/>
        <color rgb="FF1F2937"/>
        <rFont val="FreeSans"/>
        <family val="2"/>
      </rPr>
      <t xml:space="preserve">، </t>
    </r>
    <r>
      <rPr>
        <sz val="9"/>
        <color rgb="FF1F2937"/>
        <rFont val="Calibri"/>
        <family val="2"/>
      </rPr>
      <t>GAP-T-19</t>
    </r>
  </si>
  <si>
    <r>
      <rPr>
        <sz val="9"/>
        <color rgb="FF1F2937"/>
        <rFont val="Calibri"/>
        <family val="2"/>
      </rPr>
      <t>AR05</t>
    </r>
    <r>
      <rPr>
        <sz val="9"/>
        <color rgb="FF1F2937"/>
        <rFont val="FreeSans"/>
        <family val="2"/>
      </rPr>
      <t xml:space="preserve">، </t>
    </r>
    <r>
      <rPr>
        <sz val="9"/>
        <color rgb="FF1F2937"/>
        <rFont val="Calibri"/>
        <family val="2"/>
      </rPr>
      <t>AR08</t>
    </r>
    <r>
      <rPr>
        <sz val="9"/>
        <color rgb="FF1F2937"/>
        <rFont val="FreeSans"/>
        <family val="2"/>
      </rPr>
      <t xml:space="preserve">، </t>
    </r>
    <r>
      <rPr>
        <sz val="9"/>
        <color rgb="FF1F2937"/>
        <rFont val="Calibri"/>
        <family val="2"/>
      </rPr>
      <t>BR06</t>
    </r>
  </si>
  <si>
    <r>
      <rPr>
        <sz val="9"/>
        <color rgb="FF1F2937"/>
        <rFont val="FreeSans"/>
        <family val="2"/>
      </rPr>
      <t>تقديم الاستشارات و تقييم الوضع الراهن لقطاع البيانات و التحول الرقمي وإعداد الهيكلة التنظيمية و السياسات وتقديم التوصيات للتحديات التي تواجه القطاع بهدف تحسين أداءه والامتثال للأنظمة الحكومية والتعاميم والقرارات ذات العلاقة الخاصة بالتحول الرقمي وذلك وفق أفضل الممارسات</t>
    </r>
    <r>
      <rPr>
        <sz val="9"/>
        <color rgb="FF1F2937"/>
        <rFont val="Calibri"/>
        <family val="2"/>
      </rPr>
      <t xml:space="preserve">. — </t>
    </r>
    <r>
      <rPr>
        <sz val="9"/>
        <color rgb="FF1F2937"/>
        <rFont val="FreeSans"/>
        <family val="2"/>
      </rPr>
      <t>استضافة مركز البيانات هيئة تقويم التعليم والتدريب من مقدم خدمة لعدم جاهزية الموقع الحالي</t>
    </r>
  </si>
  <si>
    <t>تحسين كفاءة قطاع البيانات والتحول الرقمي.
تعزيز الامتثال للأنظمة الحكومية والتعاميم.
معالجة التحديات التنظيمية والتقنية.
دعم اتخاذ القرار عبر استشارات متخصصة.
رفع جاهزية القطاع للتحول الرقمي المستدام.</t>
  </si>
  <si>
    <t>قطاع البيانات والتحول الرقمي</t>
  </si>
  <si>
    <t>كل المجالات</t>
  </si>
  <si>
    <t>مشروع البنية التحتية لنظام سطح المكتب الافتراضي</t>
  </si>
  <si>
    <t>2. تعزيز الكفاءة التشغيلية وكفاءة الإنفاق
3. تمكين التحول الرقمي</t>
  </si>
  <si>
    <t>5. تحقيق التميز في تقديم الخدمات الرقمية من خلال التوسع في رقمنة الخدمات، وتحسين تجربة المستفيدين بما يضمن الامتثال لمعايير الحكومة الرقمية
6. تنظيم الاستفادة من البنية التحتية التقنية بما يضمن استمرارية الأعمال وحوكمة الكفاءة التشغيلية</t>
  </si>
  <si>
    <r>
      <rPr>
        <sz val="9"/>
        <color rgb="FF1F2937"/>
        <rFont val="FreeSans"/>
        <family val="2"/>
      </rPr>
      <t xml:space="preserve">رفع جاهزية واستدامة البنية التحتية التقنية
◂ </t>
    </r>
    <r>
      <rPr>
        <sz val="9"/>
        <color rgb="FF1F2937"/>
        <rFont val="Calibri"/>
        <family val="2"/>
      </rPr>
      <t>3. مبادرة تعزيز كفاءة واستدامة البنية التحتية التقنية</t>
    </r>
  </si>
  <si>
    <r>
      <rPr>
        <sz val="9"/>
        <color rgb="FF1F2937"/>
        <rFont val="Calibri"/>
        <family val="2"/>
      </rPr>
      <t>GAP-T-10</t>
    </r>
    <r>
      <rPr>
        <sz val="9"/>
        <color rgb="FF1F2937"/>
        <rFont val="FreeSans"/>
        <family val="2"/>
      </rPr>
      <t xml:space="preserve">، </t>
    </r>
    <r>
      <rPr>
        <sz val="9"/>
        <color rgb="FF1F2937"/>
        <rFont val="Calibri"/>
        <family val="2"/>
      </rPr>
      <t>GAP-T-11</t>
    </r>
  </si>
  <si>
    <r>
      <rPr>
        <sz val="9"/>
        <color rgb="FF1F2937"/>
        <rFont val="Calibri"/>
        <family val="2"/>
      </rPr>
      <t>AR07</t>
    </r>
    <r>
      <rPr>
        <sz val="9"/>
        <color rgb="FF1F2937"/>
        <rFont val="FreeSans"/>
        <family val="2"/>
      </rPr>
      <t xml:space="preserve">، </t>
    </r>
    <r>
      <rPr>
        <sz val="9"/>
        <color rgb="FF1F2937"/>
        <rFont val="Calibri"/>
        <family val="2"/>
      </rPr>
      <t>AR15</t>
    </r>
    <r>
      <rPr>
        <sz val="9"/>
        <color rgb="FF1F2937"/>
        <rFont val="FreeSans"/>
        <family val="2"/>
      </rPr>
      <t xml:space="preserve">، </t>
    </r>
    <r>
      <rPr>
        <sz val="9"/>
        <color rgb="FF1F2937"/>
        <rFont val="Calibri"/>
        <family val="2"/>
      </rPr>
      <t>AR16</t>
    </r>
    <r>
      <rPr>
        <sz val="9"/>
        <color rgb="FF1F2937"/>
        <rFont val="FreeSans"/>
        <family val="2"/>
      </rPr>
      <t xml:space="preserve">، </t>
    </r>
    <r>
      <rPr>
        <sz val="9"/>
        <color rgb="FF1F2937"/>
        <rFont val="Calibri"/>
        <family val="2"/>
      </rPr>
      <t>AR20</t>
    </r>
    <r>
      <rPr>
        <sz val="9"/>
        <color rgb="FF1F2937"/>
        <rFont val="FreeSans"/>
        <family val="2"/>
      </rPr>
      <t xml:space="preserve">، </t>
    </r>
    <r>
      <rPr>
        <sz val="9"/>
        <color rgb="FF1F2937"/>
        <rFont val="Calibri"/>
        <family val="2"/>
      </rPr>
      <t>BR17</t>
    </r>
    <r>
      <rPr>
        <sz val="9"/>
        <color rgb="FF1F2937"/>
        <rFont val="FreeSans"/>
        <family val="2"/>
      </rPr>
      <t xml:space="preserve">، </t>
    </r>
    <r>
      <rPr>
        <sz val="9"/>
        <color rgb="FF1F2937"/>
        <rFont val="Calibri"/>
        <family val="2"/>
      </rPr>
      <t>BR20</t>
    </r>
    <r>
      <rPr>
        <sz val="9"/>
        <color rgb="FF1F2937"/>
        <rFont val="FreeSans"/>
        <family val="2"/>
      </rPr>
      <t xml:space="preserve">، </t>
    </r>
    <r>
      <rPr>
        <sz val="9"/>
        <color rgb="FF1F2937"/>
        <rFont val="Calibri"/>
        <family val="2"/>
      </rPr>
      <t>TR03</t>
    </r>
  </si>
  <si>
    <r>
      <rPr>
        <sz val="9"/>
        <color rgb="FF1F2937"/>
        <rFont val="FreeSans"/>
        <family val="2"/>
      </rPr>
      <t xml:space="preserve">توريد وتطوير الأنظمة الافتراضية لسطح المكتب </t>
    </r>
    <r>
      <rPr>
        <sz val="9"/>
        <color rgb="FF1F2937"/>
        <rFont val="Calibri"/>
        <family val="2"/>
      </rPr>
      <t xml:space="preserve">VDI </t>
    </r>
    <r>
      <rPr>
        <sz val="9"/>
        <color rgb="FF1F2937"/>
        <rFont val="FreeSans"/>
        <family val="2"/>
      </rPr>
      <t>وذلك لتسهيل عمليةدخول الموظفين على اجهزتهم الافتراضية عن بعد</t>
    </r>
    <r>
      <rPr>
        <sz val="9"/>
        <color rgb="FF1F2937"/>
        <rFont val="Calibri"/>
        <family val="2"/>
      </rPr>
      <t>.</t>
    </r>
  </si>
  <si>
    <t>دعم مرنة بيئات العمل عن بعد .
تسهيل إدارة الموارد التقنية.
تقليل الأعطال المرتبطة بالأجهزة المحلية.
تعزيز الأمان والتحكم المركزي.</t>
  </si>
  <si>
    <r>
      <rPr>
        <sz val="9"/>
        <color rgb="FF1F2937"/>
        <rFont val="FreeSans"/>
        <family val="2"/>
      </rPr>
      <t>• مشروع البنية التحتية لنظام سطح المكتب الافتراضي</t>
    </r>
    <r>
      <rPr>
        <sz val="9"/>
        <color rgb="FF1F2937"/>
        <rFont val="Calibri"/>
        <family val="2"/>
      </rPr>
      <t>(</t>
    </r>
    <r>
      <rPr>
        <sz val="9"/>
        <color rgb="FF1F2937"/>
        <rFont val="FreeSans"/>
        <family val="2"/>
      </rPr>
      <t>تجديد العقد</t>
    </r>
    <r>
      <rPr>
        <sz val="9"/>
        <color rgb="FF1F2937"/>
        <rFont val="Calibri"/>
        <family val="2"/>
      </rPr>
      <t>)</t>
    </r>
  </si>
  <si>
    <t>الشركة العربية لخدمات الانترنت و الاتصالات</t>
  </si>
  <si>
    <t>13/6/2027</t>
  </si>
  <si>
    <t>الدعم الفني لأنظمة إدارة الموارد ساب</t>
  </si>
  <si>
    <r>
      <rPr>
        <sz val="9"/>
        <color rgb="FF1F2937"/>
        <rFont val="Calibri"/>
        <family val="2"/>
      </rPr>
      <t xml:space="preserve">◂ 4. </t>
    </r>
    <r>
      <rPr>
        <sz val="9"/>
        <color rgb="FF1F2937"/>
        <rFont val="FreeSans"/>
        <family val="2"/>
      </rPr>
      <t>مبادرة تطوير الحلول والخدمات الرقمية</t>
    </r>
  </si>
  <si>
    <r>
      <rPr>
        <sz val="9"/>
        <color rgb="FF1F2937"/>
        <rFont val="Calibri"/>
        <family val="2"/>
      </rPr>
      <t>AR07</t>
    </r>
    <r>
      <rPr>
        <sz val="9"/>
        <color rgb="FF1F2937"/>
        <rFont val="FreeSans"/>
        <family val="2"/>
      </rPr>
      <t xml:space="preserve">، </t>
    </r>
    <r>
      <rPr>
        <sz val="9"/>
        <color rgb="FF1F2937"/>
        <rFont val="Calibri"/>
        <family val="2"/>
      </rPr>
      <t>BR10</t>
    </r>
    <r>
      <rPr>
        <sz val="9"/>
        <color rgb="FF1F2937"/>
        <rFont val="FreeSans"/>
        <family val="2"/>
      </rPr>
      <t xml:space="preserve">، </t>
    </r>
    <r>
      <rPr>
        <sz val="9"/>
        <color rgb="FF1F2937"/>
        <rFont val="Calibri"/>
        <family val="2"/>
      </rPr>
      <t>BR17</t>
    </r>
    <r>
      <rPr>
        <sz val="9"/>
        <color rgb="FF1F2937"/>
        <rFont val="FreeSans"/>
        <family val="2"/>
      </rPr>
      <t xml:space="preserve">، </t>
    </r>
    <r>
      <rPr>
        <sz val="9"/>
        <color rgb="FF1F2937"/>
        <rFont val="Calibri"/>
        <family val="2"/>
      </rPr>
      <t>BR20</t>
    </r>
    <r>
      <rPr>
        <sz val="9"/>
        <color rgb="FF1F2937"/>
        <rFont val="FreeSans"/>
        <family val="2"/>
      </rPr>
      <t xml:space="preserve">، </t>
    </r>
    <r>
      <rPr>
        <sz val="9"/>
        <color rgb="FF1F2937"/>
        <rFont val="Calibri"/>
        <family val="2"/>
      </rPr>
      <t>TR03</t>
    </r>
  </si>
  <si>
    <t>تجديد رخص وترقية و تحديث أنظمة الموارد المالية و البشرية</t>
  </si>
  <si>
    <t>دعم التحول الرقمي للهيئة • تعزيز الكفاءة التشغيلية • تحسين جودة الخدمات</t>
  </si>
  <si>
    <t>• مشروع الصيانة والدعم الفني لأجهزة البصمة في هيئة تقويم التعليم والتدريب و المراكز التابعة لها</t>
  </si>
  <si>
    <t>14/07/2025</t>
  </si>
  <si>
    <t>14/07/2027</t>
  </si>
  <si>
    <t>تجديد رخص أنظمة</t>
  </si>
  <si>
    <t>2. تعزيز الكفاءة التشغيلية وكفاءة الإنفاق
6. المواءمة الاستراتيجية</t>
  </si>
  <si>
    <r>
      <rPr>
        <sz val="9"/>
        <color rgb="FF1F2937"/>
        <rFont val="Calibri"/>
        <family val="2"/>
      </rPr>
      <t>GAP-B-01</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r>
      <rPr>
        <sz val="9"/>
        <color rgb="FF1F2937"/>
        <rFont val="FreeSans"/>
        <family val="2"/>
      </rPr>
      <t xml:space="preserve">، </t>
    </r>
    <r>
      <rPr>
        <sz val="9"/>
        <color rgb="FF1F2937"/>
        <rFont val="Calibri"/>
        <family val="2"/>
      </rPr>
      <t>GAP-T-12</t>
    </r>
  </si>
  <si>
    <r>
      <rPr>
        <sz val="9"/>
        <color rgb="FF1F2937"/>
        <rFont val="Calibri"/>
        <family val="2"/>
      </rPr>
      <t>AR07</t>
    </r>
    <r>
      <rPr>
        <sz val="9"/>
        <color rgb="FF1F2937"/>
        <rFont val="FreeSans"/>
        <family val="2"/>
      </rPr>
      <t xml:space="preserve">، </t>
    </r>
    <r>
      <rPr>
        <sz val="9"/>
        <color rgb="FF1F2937"/>
        <rFont val="Calibri"/>
        <family val="2"/>
      </rPr>
      <t>AR10</t>
    </r>
    <r>
      <rPr>
        <sz val="9"/>
        <color rgb="FF1F2937"/>
        <rFont val="FreeSans"/>
        <family val="2"/>
      </rPr>
      <t xml:space="preserve">، </t>
    </r>
    <r>
      <rPr>
        <sz val="9"/>
        <color rgb="FF1F2937"/>
        <rFont val="Calibri"/>
        <family val="2"/>
      </rPr>
      <t>BR10</t>
    </r>
    <r>
      <rPr>
        <sz val="9"/>
        <color rgb="FF1F2937"/>
        <rFont val="FreeSans"/>
        <family val="2"/>
      </rPr>
      <t xml:space="preserve">، </t>
    </r>
    <r>
      <rPr>
        <sz val="9"/>
        <color rgb="FF1F2937"/>
        <rFont val="Calibri"/>
        <family val="2"/>
      </rPr>
      <t>BR15</t>
    </r>
    <r>
      <rPr>
        <sz val="9"/>
        <color rgb="FF1F2937"/>
        <rFont val="FreeSans"/>
        <family val="2"/>
      </rPr>
      <t xml:space="preserve">، </t>
    </r>
    <r>
      <rPr>
        <sz val="9"/>
        <color rgb="FF1F2937"/>
        <rFont val="Calibri"/>
        <family val="2"/>
      </rPr>
      <t>TR03</t>
    </r>
  </si>
  <si>
    <r>
      <rPr>
        <sz val="9"/>
        <color rgb="FF1F2937"/>
        <rFont val="FreeSans"/>
        <family val="2"/>
      </rPr>
      <t xml:space="preserve">تجديد رخصة أنظمة إدارة الموارد ال مؤسسية </t>
    </r>
    <r>
      <rPr>
        <sz val="9"/>
        <color rgb="FF1F2937"/>
        <rFont val="Calibri"/>
        <family val="2"/>
      </rPr>
      <t xml:space="preserve">(SAP S4Hana + SuccessFactors) ERP </t>
    </r>
    <r>
      <rPr>
        <sz val="9"/>
        <color rgb="FF1F2937"/>
        <rFont val="FreeSans"/>
        <family val="2"/>
      </rPr>
      <t>والتي تسعى من خلالها الهيئة إلى استمرارية الاعمال في الأنظمة المالية والموارد البشرية</t>
    </r>
    <r>
      <rPr>
        <sz val="9"/>
        <color rgb="FF1F2937"/>
        <rFont val="Calibri"/>
        <family val="2"/>
      </rPr>
      <t>.</t>
    </r>
  </si>
  <si>
    <r>
      <rPr>
        <sz val="9"/>
        <color rgb="FF1F2937"/>
        <rFont val="FreeSans"/>
        <family val="2"/>
      </rPr>
      <t>استمرارية الاعمال في الأنظمة المالية والموارد البشرية</t>
    </r>
    <r>
      <rPr>
        <sz val="9"/>
        <color rgb="FF1F2937"/>
        <rFont val="Calibri"/>
        <family val="2"/>
      </rPr>
      <t>.</t>
    </r>
  </si>
  <si>
    <r>
      <rPr>
        <sz val="9"/>
        <color rgb="FF1F2937"/>
        <rFont val="FreeSans"/>
        <family val="2"/>
      </rPr>
      <t xml:space="preserve">• تجديد رخص أنظمة </t>
    </r>
    <r>
      <rPr>
        <sz val="9"/>
        <color rgb="FF1F2937"/>
        <rFont val="Calibri"/>
        <family val="2"/>
      </rPr>
      <t>(SAP)</t>
    </r>
  </si>
  <si>
    <t>شركة أدوات وحلول</t>
  </si>
  <si>
    <t>الربط الشبكي لمقرات الاختبارات المحوسبة</t>
  </si>
  <si>
    <t>4. دعم تحسين تجربة المستفيد
6. المواءمة الاستراتيجية</t>
  </si>
  <si>
    <t>2. تمكين التكامل التقني مع الجهات الحكومية ذات العلاقة عبر قنوات البيانات الوطنية، لتبادل البيانات وتقديم خدمات موحدة ومترابطة للمستفيدين
4. بناء قدرات رقمية وطنية وتمكين الكفاءات المتخصصة والعامة في مجال البيانات والتحول الرقمي، من خلال مسارات تدريبية مستهدفة متوافقة مع معايير بناء الكفاءات
5. تحقيق التميز في تقديم الخدمات الرقمية من خلال التوسع في رقمنة الخدمات، وتحسين تجربة المستفيدين بما يضمن الامتثال لمعايير الحكومة الرقمية</t>
  </si>
  <si>
    <r>
      <rPr>
        <sz val="9"/>
        <color rgb="FF1F2937"/>
        <rFont val="Calibri"/>
        <family val="2"/>
      </rPr>
      <t>GAP-B-01</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GAP-B-28</t>
    </r>
  </si>
  <si>
    <r>
      <rPr>
        <sz val="9"/>
        <color rgb="FF1F2937"/>
        <rFont val="Calibri"/>
        <family val="2"/>
      </rPr>
      <t>AR09</t>
    </r>
    <r>
      <rPr>
        <sz val="9"/>
        <color rgb="FF1F2937"/>
        <rFont val="FreeSans"/>
        <family val="2"/>
      </rPr>
      <t xml:space="preserve">، </t>
    </r>
    <r>
      <rPr>
        <sz val="9"/>
        <color rgb="FF1F2937"/>
        <rFont val="Calibri"/>
        <family val="2"/>
      </rPr>
      <t>BR04</t>
    </r>
    <r>
      <rPr>
        <sz val="9"/>
        <color rgb="FF1F2937"/>
        <rFont val="FreeSans"/>
        <family val="2"/>
      </rPr>
      <t xml:space="preserve">، </t>
    </r>
    <r>
      <rPr>
        <sz val="9"/>
        <color rgb="FF1F2937"/>
        <rFont val="Calibri"/>
        <family val="2"/>
      </rPr>
      <t>BR06</t>
    </r>
  </si>
  <si>
    <r>
      <rPr>
        <sz val="9"/>
        <color rgb="FF1F2937"/>
        <rFont val="FreeSans"/>
        <family val="2"/>
      </rPr>
      <t xml:space="preserve">تقديم خدمة الربط الشبكي </t>
    </r>
    <r>
      <rPr>
        <sz val="9"/>
        <color rgb="FF1F2937"/>
        <rFont val="Calibri"/>
        <family val="2"/>
      </rPr>
      <t xml:space="preserve">5G </t>
    </r>
    <r>
      <rPr>
        <sz val="9"/>
        <color rgb="FF1F2937"/>
        <rFont val="FreeSans"/>
        <family val="2"/>
      </rPr>
      <t>في هيئة تقويم التعليم والتدريب لجميع مقرات الاختبارات</t>
    </r>
  </si>
  <si>
    <t>دعم منظومة الاختبارات والتقويم • رفع جودة إجراء الاختبارات الرقمية</t>
  </si>
  <si>
    <t>•  تقديم خدمات لأنظمة تطبيق الاختبارات المحوسبة
• التجهيز والتشغيل التقني لمقرات الاختبارات المحوسبة
• التجهيز والتشغيل التقني لمقرات الاختبارات المحوسبة بجميع مناطق المملكة</t>
  </si>
  <si>
    <t>الأعمال</t>
  </si>
  <si>
    <t>منخفضة</t>
  </si>
  <si>
    <t>تأمين خدمة التحقق من بيانات المتقدمين يقين</t>
  </si>
  <si>
    <t>1. دعم اتخاذ القرارات
4. دعم تحسين تجربة المستفيد
5. تعزيز الحوكمة المؤسسية</t>
  </si>
  <si>
    <t>1. الامتثال للسياسات ذات العلاقة بمجال البيانات والتحول الرقمي الناشئ من أنظمة الهيئة وخدماتها، ومع تعزيز الاستفادة من البيانات والأنظمة لدعم أعمال الهيئة
2. تمكين التكامل التقني مع الجهات الحكومية ذات العلاقة عبر قنوات البيانات الوطنية، لتبادل البيانات وتقديم خدمات موحدة ومترابطة للمستفيدين
5. تحقيق التميز في تقديم الخدمات الرقمية من خلال التوسع في رقمنة الخدمات، وتحسين تجربة المستفيدين بما يضمن الامتثال لمعايير الحكومة الرقمية</t>
  </si>
  <si>
    <r>
      <rPr>
        <sz val="9"/>
        <color rgb="FF1F2937"/>
        <rFont val="FreeSans"/>
        <family val="2"/>
      </rPr>
      <t xml:space="preserve">تحسين جودة وتكامل البيانات وفق المعايير الوطنية
◂ </t>
    </r>
    <r>
      <rPr>
        <sz val="9"/>
        <color rgb="FF1F2937"/>
        <rFont val="Calibri"/>
        <family val="2"/>
      </rPr>
      <t>5. مبادرة تحسين تجربة المستفيد الرقمية</t>
    </r>
  </si>
  <si>
    <r>
      <rPr>
        <sz val="9"/>
        <color rgb="FF1F2937"/>
        <rFont val="Calibri"/>
        <family val="2"/>
      </rPr>
      <t>GAP-A-01</t>
    </r>
    <r>
      <rPr>
        <sz val="9"/>
        <color rgb="FF1F2937"/>
        <rFont val="FreeSans"/>
        <family val="2"/>
      </rPr>
      <t xml:space="preserve">، </t>
    </r>
    <r>
      <rPr>
        <sz val="9"/>
        <color rgb="FF1F2937"/>
        <rFont val="Calibri"/>
        <family val="2"/>
      </rPr>
      <t>GAP-A-07</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GAP-B-03</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GAP-B-12</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</si>
  <si>
    <r>
      <rPr>
        <sz val="9"/>
        <color rgb="FF1F2937"/>
        <rFont val="Calibri"/>
        <family val="2"/>
      </rPr>
      <t>AR18</t>
    </r>
    <r>
      <rPr>
        <sz val="9"/>
        <color rgb="FF1F2937"/>
        <rFont val="FreeSans"/>
        <family val="2"/>
      </rPr>
      <t xml:space="preserve">، </t>
    </r>
    <r>
      <rPr>
        <sz val="9"/>
        <color rgb="FF1F2937"/>
        <rFont val="Calibri"/>
        <family val="2"/>
      </rPr>
      <t>BR03</t>
    </r>
    <r>
      <rPr>
        <sz val="9"/>
        <color rgb="FF1F2937"/>
        <rFont val="FreeSans"/>
        <family val="2"/>
      </rPr>
      <t xml:space="preserve">، </t>
    </r>
    <r>
      <rPr>
        <sz val="9"/>
        <color rgb="FF1F2937"/>
        <rFont val="Calibri"/>
        <family val="2"/>
      </rPr>
      <t>TR01</t>
    </r>
  </si>
  <si>
    <r>
      <rPr>
        <sz val="9"/>
        <color rgb="FF1F2937"/>
        <rFont val="FreeSans"/>
        <family val="2"/>
      </rPr>
      <t>خدمة التحقق من بيانات المتقدمين لاختبارات الهيئة في مركز المعلومات الوطني والهدف من هذه الخدمة هو تسهيل مهمة التأكد من بيانات المتقدمين لاختبارات الهيئة لتلافي الأخطاء في الادخال والتحقق من صحة البيانات</t>
    </r>
    <r>
      <rPr>
        <sz val="9"/>
        <color rgb="FF1F2937"/>
        <rFont val="Calibri"/>
        <family val="2"/>
      </rPr>
      <t>.</t>
    </r>
  </si>
  <si>
    <t>تسريع عملية التحقق من الهوية.
تقليل الأخطاء اليدوية في البيانات.
تعزيز الأمان والثقة في البيانات.
التكامل مع الأنظمة الوطنية للتحقق الفوري.</t>
  </si>
  <si>
    <r>
      <rPr>
        <sz val="9"/>
        <color rgb="FF1F2937"/>
        <rFont val="FreeSans"/>
        <family val="2"/>
      </rPr>
      <t>• تأمين خدمة التحقق من بيانات المتقدمين يقين</t>
    </r>
    <r>
      <rPr>
        <sz val="9"/>
        <color rgb="FF1F2937"/>
        <rFont val="Calibri"/>
        <family val="2"/>
      </rPr>
      <t>(</t>
    </r>
    <r>
      <rPr>
        <sz val="9"/>
        <color rgb="FF1F2937"/>
        <rFont val="FreeSans"/>
        <family val="2"/>
      </rPr>
      <t>تجديد العقد</t>
    </r>
    <r>
      <rPr>
        <sz val="9"/>
        <color rgb="FF1F2937"/>
        <rFont val="Calibri"/>
        <family val="2"/>
      </rPr>
      <t>)</t>
    </r>
  </si>
  <si>
    <t>شركة عِلم</t>
  </si>
  <si>
    <t>2. تعزيز الكفاءة التشغيلية وكفاءة الإنفاق
3. تمكين التحول الرقمي
4. دعم تحسين تجربة المستفيد</t>
  </si>
  <si>
    <r>
      <rPr>
        <sz val="9"/>
        <color rgb="FF1F2937"/>
        <rFont val="Calibri"/>
        <family val="2"/>
      </rPr>
      <t xml:space="preserve">◂ 5. </t>
    </r>
    <r>
      <rPr>
        <sz val="9"/>
        <color rgb="FF1F2937"/>
        <rFont val="FreeSans"/>
        <family val="2"/>
      </rPr>
      <t>مبادرة تحسين تجربة المستفيد الرقمية</t>
    </r>
  </si>
  <si>
    <r>
      <rPr>
        <sz val="9"/>
        <color rgb="FF1F2937"/>
        <rFont val="Calibri"/>
        <family val="2"/>
      </rPr>
      <t>GAP-A-06</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GAP-B-28</t>
    </r>
  </si>
  <si>
    <r>
      <rPr>
        <sz val="9"/>
        <color rgb="FF1F2937"/>
        <rFont val="Calibri"/>
        <family val="2"/>
      </rPr>
      <t>AR07</t>
    </r>
    <r>
      <rPr>
        <sz val="9"/>
        <color rgb="FF1F2937"/>
        <rFont val="FreeSans"/>
        <family val="2"/>
      </rPr>
      <t xml:space="preserve">، </t>
    </r>
    <r>
      <rPr>
        <sz val="9"/>
        <color rgb="FF1F2937"/>
        <rFont val="Calibri"/>
        <family val="2"/>
      </rPr>
      <t>AR15</t>
    </r>
    <r>
      <rPr>
        <sz val="9"/>
        <color rgb="FF1F2937"/>
        <rFont val="FreeSans"/>
        <family val="2"/>
      </rPr>
      <t xml:space="preserve">، </t>
    </r>
    <r>
      <rPr>
        <sz val="9"/>
        <color rgb="FF1F2937"/>
        <rFont val="Calibri"/>
        <family val="2"/>
      </rPr>
      <t>BR06</t>
    </r>
    <r>
      <rPr>
        <sz val="9"/>
        <color rgb="FF1F2937"/>
        <rFont val="FreeSans"/>
        <family val="2"/>
      </rPr>
      <t xml:space="preserve">، </t>
    </r>
    <r>
      <rPr>
        <sz val="9"/>
        <color rgb="FF1F2937"/>
        <rFont val="Calibri"/>
        <family val="2"/>
      </rPr>
      <t>TR03</t>
    </r>
  </si>
  <si>
    <r>
      <rPr>
        <sz val="9"/>
        <color rgb="FF1F2937"/>
        <rFont val="FreeSans"/>
        <family val="2"/>
      </rPr>
      <t xml:space="preserve">تأمين خدمة الرسائل النصية ) </t>
    </r>
    <r>
      <rPr>
        <sz val="9"/>
        <color rgb="FF1F2937"/>
        <rFont val="Calibri"/>
        <family val="2"/>
      </rPr>
      <t xml:space="preserve">SMS Gateway ( حزم الرسائل بحيث يوفر
</t>
    </r>
    <r>
      <rPr>
        <sz val="9"/>
        <color rgb="FF1F2937"/>
        <rFont val="FreeSans"/>
        <family val="2"/>
      </rPr>
      <t>النظام مرونة عالية في الربط مع الأنظمة الداخلية للهيئة وكذلك توفير واجهات
إدارة المستخدمين وشاشات خاصة لمراقبة حالة الرسائل وأعدادها.</t>
    </r>
  </si>
  <si>
    <t>استمرارية دعم الأنظمة الحيوية • الحفاظ على الأمان والتحديثات • الامتثال للمتطلبات التعاقدية • تحسين تجربة المستفيد • تسهيل الوصول إلى الخدمات الرقمية</t>
  </si>
  <si>
    <t>• تأمين خدمة الرسائل النصية لهيئة تقويم التعليم والتدريب</t>
  </si>
  <si>
    <t>التطبيقات و التقنية و الأعمال</t>
  </si>
  <si>
    <t>عالية</t>
  </si>
  <si>
    <t>18/4/2027</t>
  </si>
  <si>
    <t>18/4/2030</t>
  </si>
  <si>
    <t>تشغيل وصيانة أنظمة هيئة تقويم التعليم والتدريب</t>
  </si>
  <si>
    <t>4. بناء قدرات رقمية وطنية وتمكين الكفاءات المتخصصة والعامة في مجال البيانات والتحول الرقمي، من خلال مسارات تدريبية مستهدفة متوافقة مع معايير بناء الكفاءات
5. تحقيق التميز في تقديم الخدمات الرقمية من خلال التوسع في رقمنة الخدمات، وتحسين تجربة المستفيدين بما يضمن الامتثال لمعايير الحكومة الرقمية
6. تنظيم الاستفادة من البنية التحتية التقنية بما يضمن استمرارية الأعمال وحوكمة الكفاءة التشغيلية</t>
  </si>
  <si>
    <r>
      <rPr>
        <sz val="9"/>
        <color rgb="FF1F2937"/>
        <rFont val="Calibri"/>
        <family val="2"/>
      </rPr>
      <t>GAP-A-06</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</si>
  <si>
    <r>
      <rPr>
        <sz val="9"/>
        <color rgb="FF1F2937"/>
        <rFont val="Calibri"/>
        <family val="2"/>
      </rPr>
      <t>BR06</t>
    </r>
    <r>
      <rPr>
        <sz val="9"/>
        <color rgb="FF1F2937"/>
        <rFont val="FreeSans"/>
        <family val="2"/>
      </rPr>
      <t xml:space="preserve">، </t>
    </r>
    <r>
      <rPr>
        <sz val="9"/>
        <color rgb="FF1F2937"/>
        <rFont val="Calibri"/>
        <family val="2"/>
      </rPr>
      <t>TR03</t>
    </r>
  </si>
  <si>
    <r>
      <rPr>
        <sz val="9"/>
        <color rgb="FF1F2937"/>
        <rFont val="FreeSans"/>
        <family val="2"/>
      </rPr>
      <t xml:space="preserve">توفير الأدوات التقنية اللازمة والكوادر المؤهلة فنياً لمراقبة جميع الأنشطة والعمليات التي تهدف الى ضمان استمرارية أداء خدمات المؤسسات التعليمية والتدريبية وعملها بشكل سلس وفعال وبكامل طاقتها وعلى النحو الأمثل بشكل مستمر دون توقف </t>
    </r>
    <r>
      <rPr>
        <sz val="9"/>
        <color rgb="FF1F2937"/>
        <rFont val="Calibri"/>
        <family val="2"/>
      </rPr>
      <t xml:space="preserve">24/7 </t>
    </r>
    <r>
      <rPr>
        <sz val="9"/>
        <color rgb="FF1F2937"/>
        <rFont val="FreeSans"/>
        <family val="2"/>
      </rPr>
      <t>وتقليل حدوث الأخطاء والمشاكل الفنية وأخذ التدابير الاستباقية والاستجابة الكاملة لمتطلبات التغيير لضمان تحسين ورفع جودتها وتلبية متطلبات العمل وتحسين تجربة المستخدم</t>
    </r>
    <r>
      <rPr>
        <sz val="9"/>
        <color rgb="FF1F2937"/>
        <rFont val="Calibri"/>
        <family val="2"/>
      </rPr>
      <t>..</t>
    </r>
  </si>
  <si>
    <t>ضمان استمرارية الخدمات التقنية • تقليل الأعطال والانقطاعات • بناء القدرات الرقمية للموظفين • تعزيز ثقافة التعلم المؤسسي</t>
  </si>
  <si>
    <t>• تأمين خدمة الرسائل النصية لهيئة تقويم التعليم والتدريب (تجديد العقد)
• مشروع الصيانة والدعم الفني لأجهزة البصمة في هيئة تقويم التعليم والتدريب و المراكز التابعة لها
• تأسيس وتنفيذ وتشغيل البنية المؤسسية في هيئة تقويم التعليم و التدريب</t>
  </si>
  <si>
    <t>التقنية و الأعمال</t>
  </si>
  <si>
    <t>تطوير نظامي إدارة استكشاف الأصول التقنية والأجهزة الطرفية</t>
  </si>
  <si>
    <t>2. تعزيز الكفاءة التشغيلية وكفاءة الإنفاق
3. تمكين التحول الرقمي
5. تعزيز الحوكمة المؤسسية</t>
  </si>
  <si>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GAP-T-11</t>
    </r>
    <r>
      <rPr>
        <sz val="9"/>
        <color rgb="FF1F2937"/>
        <rFont val="FreeSans"/>
        <family val="2"/>
      </rPr>
      <t xml:space="preserve">، </t>
    </r>
    <r>
      <rPr>
        <sz val="9"/>
        <color rgb="FF1F2937"/>
        <rFont val="Calibri"/>
        <family val="2"/>
      </rPr>
      <t>GAP-T-12</t>
    </r>
  </si>
  <si>
    <r>
      <rPr>
        <sz val="9"/>
        <color rgb="FF1F2937"/>
        <rFont val="Calibri"/>
        <family val="2"/>
      </rPr>
      <t>AR07</t>
    </r>
    <r>
      <rPr>
        <sz val="9"/>
        <color rgb="FF1F2937"/>
        <rFont val="FreeSans"/>
        <family val="2"/>
      </rPr>
      <t xml:space="preserve">، </t>
    </r>
    <r>
      <rPr>
        <sz val="9"/>
        <color rgb="FF1F2937"/>
        <rFont val="Calibri"/>
        <family val="2"/>
      </rPr>
      <t>AR18</t>
    </r>
  </si>
  <si>
    <t>يشمل نطاق العمل تقديم خدمات التشغيل والدعم الفني والصيانة لكلٍ من نظام إدارة الخدمات ونظام إدارة الأصول التقنية، بالإضافة إلى توريد رخص استكشاف الأصول وإدارة الثغرات والتحديثات الأمنية ونظام إدارة الأجهزة الطرفية، مع تطبيق آلية فعّالة لإدارة التصحيحات الأمنية، بما يعزز التحكم في الأصول الرقمية ويرفع مستوى الأمان والامتثال والتكامل مع أنظمة الهيئة</t>
  </si>
  <si>
    <t>التطبيقات و التقنية و الأمن السيبراني</t>
  </si>
  <si>
    <t>تقديم خدمة أداء الاختبارات الرقمية بالرياض ، الدمام ، المدينة المنورة ، الطائف ، بريدة ، الهفوف ،جازان ، جدة</t>
  </si>
  <si>
    <t>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
5. تحقيق التميز في تقديم الخدمات الرقمية من خلال التوسع في رقمنة الخدمات، وتحسين تجربة المستفيدين بما يضمن الامتثال لمعايير الحكومة الرقمية
6. تنظيم الاستفادة من البنية التحتية التقنية بما يضمن استمرارية الأعمال وحوكمة الكفاءة التشغيلية</t>
  </si>
  <si>
    <r>
      <rPr>
        <sz val="9"/>
        <color rgb="FF1F2937"/>
        <rFont val="FreeSans"/>
        <family val="2"/>
      </rPr>
      <t xml:space="preserve">تحسين تجربة المستفيد وتوحيد مسار ات تقديم الخدمات الرقمية
◂ </t>
    </r>
    <r>
      <rPr>
        <sz val="9"/>
        <color rgb="FF1F2937"/>
        <rFont val="Calibri"/>
        <family val="2"/>
      </rPr>
      <t>5. مبادرة تحسين تجربة المستفيد الرقمية</t>
    </r>
  </si>
  <si>
    <r>
      <rPr>
        <sz val="9"/>
        <color rgb="FF1F2937"/>
        <rFont val="Calibri"/>
        <family val="2"/>
      </rPr>
      <t>GAP-A-02</t>
    </r>
    <r>
      <rPr>
        <sz val="9"/>
        <color rgb="FF1F2937"/>
        <rFont val="FreeSans"/>
        <family val="2"/>
      </rPr>
      <t xml:space="preserve">، </t>
    </r>
    <r>
      <rPr>
        <sz val="9"/>
        <color rgb="FF1F2937"/>
        <rFont val="Calibri"/>
        <family val="2"/>
      </rPr>
      <t>GAP-A-03</t>
    </r>
    <r>
      <rPr>
        <sz val="9"/>
        <color rgb="FF1F2937"/>
        <rFont val="FreeSans"/>
        <family val="2"/>
      </rPr>
      <t xml:space="preserve">، </t>
    </r>
    <r>
      <rPr>
        <sz val="9"/>
        <color rgb="FF1F2937"/>
        <rFont val="Calibri"/>
        <family val="2"/>
      </rPr>
      <t>GAP-A-06</t>
    </r>
    <r>
      <rPr>
        <sz val="9"/>
        <color rgb="FF1F2937"/>
        <rFont val="FreeSans"/>
        <family val="2"/>
      </rPr>
      <t xml:space="preserve">، </t>
    </r>
    <r>
      <rPr>
        <sz val="9"/>
        <color rgb="FF1F2937"/>
        <rFont val="Calibri"/>
        <family val="2"/>
      </rPr>
      <t>GAP-A-08</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GAP-B-08</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</si>
  <si>
    <r>
      <rPr>
        <sz val="9"/>
        <color rgb="FF1F2937"/>
        <rFont val="Calibri"/>
        <family val="2"/>
      </rPr>
      <t>AR09</t>
    </r>
    <r>
      <rPr>
        <sz val="9"/>
        <color rgb="FF1F2937"/>
        <rFont val="FreeSans"/>
        <family val="2"/>
      </rPr>
      <t xml:space="preserve">، </t>
    </r>
    <r>
      <rPr>
        <sz val="9"/>
        <color rgb="FF1F2937"/>
        <rFont val="Calibri"/>
        <family val="2"/>
      </rPr>
      <t>BR18</t>
    </r>
    <r>
      <rPr>
        <sz val="9"/>
        <color rgb="FF1F2937"/>
        <rFont val="FreeSans"/>
        <family val="2"/>
      </rPr>
      <t xml:space="preserve">، </t>
    </r>
    <r>
      <rPr>
        <sz val="9"/>
        <color rgb="FF1F2937"/>
        <rFont val="Calibri"/>
        <family val="2"/>
      </rPr>
      <t>TR03</t>
    </r>
  </si>
  <si>
    <r>
      <rPr>
        <sz val="9"/>
        <color rgb="FF1F2937"/>
        <rFont val="FreeSans"/>
        <family val="2"/>
      </rPr>
      <t>تقديم خدمة أداء الاختبارات الرقمية بداية من استقبال المختبرين وتوثيق بياناتهم وتنظيم دخولهم لقاعة الاختبار ومراقبة الاختبارات إلى انتهائها وتنظيم مغادرتهم</t>
    </r>
    <r>
      <rPr>
        <sz val="9"/>
        <color rgb="FF1F2937"/>
        <rFont val="Calibri"/>
        <family val="2"/>
      </rPr>
      <t>.</t>
    </r>
  </si>
  <si>
    <t>توسيع الوصول الجغرافي للمتقدمين من خلال توفير نقاط اختبار في مختلف المناطق.
تحسين تجربة المستفيد عبر تقنيات اختبار رقمية مريحة وسهلة الاستخدام.
رفع كفاءة العمليات من خلال تقليل الاعتماد على الاختبارات الورقية.
ضمان استمرارية الخدمة من خلال بنية تحتية موزعة تخفف من مخاطر التوقف المحلي.</t>
  </si>
  <si>
    <t>مركز قياس</t>
  </si>
  <si>
    <r>
      <rPr>
        <sz val="9"/>
        <color rgb="FF1F2937"/>
        <rFont val="FreeSans"/>
        <family val="2"/>
      </rPr>
      <t xml:space="preserve">توفير وتركيب أداة التطوير منخفضة صفرية الترميز </t>
    </r>
    <r>
      <rPr>
        <sz val="9"/>
        <color rgb="FF1F2937"/>
        <rFont val="Calibri"/>
        <family val="2"/>
      </rPr>
      <t>(</t>
    </r>
    <r>
      <rPr>
        <sz val="9"/>
        <color rgb="FF1F2937"/>
        <rFont val="FreeSans"/>
        <family val="2"/>
      </rPr>
      <t>تجديد العقد</t>
    </r>
    <r>
      <rPr>
        <sz val="9"/>
        <color rgb="FF1F2937"/>
        <rFont val="Calibri"/>
        <family val="2"/>
      </rPr>
      <t>)</t>
    </r>
  </si>
  <si>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</si>
  <si>
    <r>
      <rPr>
        <sz val="9"/>
        <color rgb="FF1F2937"/>
        <rFont val="Calibri"/>
        <family val="2"/>
      </rPr>
      <t>AR07</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TR03</t>
    </r>
  </si>
  <si>
    <r>
      <rPr>
        <sz val="9"/>
        <color rgb="FF1F2937"/>
        <rFont val="FreeSans"/>
        <family val="2"/>
      </rPr>
      <t>الاستفادة من أدوات التطوير منخفضة</t>
    </r>
    <r>
      <rPr>
        <sz val="9"/>
        <color rgb="FF1F2937"/>
        <rFont val="Calibri"/>
        <family val="2"/>
      </rPr>
      <t>/</t>
    </r>
    <r>
      <rPr>
        <sz val="9"/>
        <color rgb="FF1F2937"/>
        <rFont val="FreeSans"/>
        <family val="2"/>
      </rPr>
      <t xml:space="preserve">صفرية الترميز </t>
    </r>
    <r>
      <rPr>
        <sz val="9"/>
        <color rgb="FF1F2937"/>
        <rFont val="Calibri"/>
        <family val="2"/>
      </rPr>
      <t xml:space="preserve">Low/No Code Development Tool </t>
    </r>
    <r>
      <rPr>
        <sz val="9"/>
        <color rgb="FF1F2937"/>
        <rFont val="FreeSans"/>
        <family val="2"/>
      </rPr>
      <t>لتلبية احتياجات الهيئة في عمليات التحول الرقمي وذلك من خلال توفير المنتجات الرقمية بطريقة سريعة وفعالة والتي تقود إلى تسريع عمليات التحول الرقمي وزيادة الكفاءة التشغيلية ورقمنه الأعمال وتحسين تجربة المستخدم</t>
    </r>
    <r>
      <rPr>
        <sz val="9"/>
        <color rgb="FF1F2937"/>
        <rFont val="Calibri"/>
        <family val="2"/>
      </rPr>
      <t>.</t>
    </r>
  </si>
  <si>
    <t xml:space="preserve">• توفير وتركيب أداة التطوير منخفضة صفرية الترميز </t>
  </si>
  <si>
    <t>التطبيقات و التقنية</t>
  </si>
  <si>
    <t>17/12/2027</t>
  </si>
  <si>
    <t>توفير وتركيب أداة التطوير منخفضة صفرية الترميز</t>
  </si>
  <si>
    <r>
      <rPr>
        <sz val="9"/>
        <color rgb="FF1F2937"/>
        <rFont val="Calibri"/>
        <family val="2"/>
      </rPr>
      <t xml:space="preserve">5. </t>
    </r>
    <r>
      <rPr>
        <sz val="9"/>
        <color rgb="FF1F2937"/>
        <rFont val="FreeSans"/>
        <family val="2"/>
      </rPr>
      <t>تحقيق التميز في تقديم الخدمات الرقمية من خلال التوسع في رقمنة الخدمات، وتحسين تجربة المستفيدين بما يضمن الامتثال لمعايير الحكومة الرقمية</t>
    </r>
  </si>
  <si>
    <r>
      <rPr>
        <sz val="9"/>
        <color rgb="FF1F2937"/>
        <rFont val="Calibri"/>
        <family val="2"/>
      </rPr>
      <t>AR18</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BR02</t>
    </r>
  </si>
  <si>
    <r>
      <rPr>
        <sz val="9"/>
        <color rgb="FF1F2937"/>
        <rFont val="FreeSans"/>
        <family val="2"/>
      </rPr>
      <t xml:space="preserve">• توفير وتركيب أداة التطوير منخفضة صفرية الترميز </t>
    </r>
    <r>
      <rPr>
        <sz val="9"/>
        <color rgb="FF1F2937"/>
        <rFont val="Calibri"/>
        <family val="2"/>
      </rPr>
      <t>(</t>
    </r>
    <r>
      <rPr>
        <sz val="9"/>
        <color rgb="FF1F2937"/>
        <rFont val="FreeSans"/>
        <family val="2"/>
      </rPr>
      <t>تجديد العقد</t>
    </r>
    <r>
      <rPr>
        <sz val="9"/>
        <color rgb="FF1F2937"/>
        <rFont val="Calibri"/>
        <family val="2"/>
      </rPr>
      <t>)</t>
    </r>
  </si>
  <si>
    <t>التطبيقات</t>
  </si>
  <si>
    <t>16/12/2024</t>
  </si>
  <si>
    <t>16/12/2027</t>
  </si>
  <si>
    <t>تشغيل وصيانة تطبيق ألف ياء لاختبارات بطارية الذكاء المرتبطة بقياس القدرات العقلية</t>
  </si>
  <si>
    <r>
      <rPr>
        <sz val="9"/>
        <color rgb="FF1F2937"/>
        <rFont val="FreeSans"/>
        <family val="2"/>
      </rPr>
      <t xml:space="preserve">تحسين تجربة المستفيد وتوحيد مسار ات تقديم الخدمات الرقمية
◂ </t>
    </r>
    <r>
      <rPr>
        <sz val="9"/>
        <color rgb="FF1F2937"/>
        <rFont val="Calibri"/>
        <family val="2"/>
      </rPr>
      <t>1. مبادرة الذكاء الاصطناعي والتحليلات المتقدمة</t>
    </r>
  </si>
  <si>
    <r>
      <rPr>
        <sz val="9"/>
        <color rgb="FF1F2937"/>
        <rFont val="Calibri"/>
        <family val="2"/>
      </rPr>
      <t>GAP-B-01</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</si>
  <si>
    <r>
      <rPr>
        <sz val="9"/>
        <color rgb="FF1F2937"/>
        <rFont val="Calibri"/>
        <family val="2"/>
      </rPr>
      <t>AR07</t>
    </r>
    <r>
      <rPr>
        <sz val="9"/>
        <color rgb="FF1F2937"/>
        <rFont val="FreeSans"/>
        <family val="2"/>
      </rPr>
      <t xml:space="preserve">، </t>
    </r>
    <r>
      <rPr>
        <sz val="9"/>
        <color rgb="FF1F2937"/>
        <rFont val="Calibri"/>
        <family val="2"/>
      </rPr>
      <t>BR07</t>
    </r>
    <r>
      <rPr>
        <sz val="9"/>
        <color rgb="FF1F2937"/>
        <rFont val="FreeSans"/>
        <family val="2"/>
      </rPr>
      <t xml:space="preserve">، </t>
    </r>
    <r>
      <rPr>
        <sz val="9"/>
        <color rgb="FF1F2937"/>
        <rFont val="Calibri"/>
        <family val="2"/>
      </rPr>
      <t>TR03</t>
    </r>
  </si>
  <si>
    <t>إعادة ترتيب مكونات التطبيق التقنية بما قد يتطلب إعادة بناء الواجهة الخلفية بما يتلاءم مع التقنيات المستخدمة في بيئة الهيئة</t>
  </si>
  <si>
    <t>قياس قدرات الطلاب العقلية بطريقة علمية.
تحسين أدوات التقويم والتشخيص.
دعم التوجيه التربوي والأكاديمي.
تعزيز الابتكار في تصميم الاختبارات.</t>
  </si>
  <si>
    <r>
      <rPr>
        <sz val="9"/>
        <color rgb="FF1F2937"/>
        <rFont val="FreeSans"/>
        <family val="2"/>
      </rPr>
      <t xml:space="preserve">• تشغيل وصيانة تطبيق ألف ياء لاختبارات بطارية الذكاء المرتبطة بقياس القدرات العقلية </t>
    </r>
    <r>
      <rPr>
        <sz val="9"/>
        <color rgb="FF1F2937"/>
        <rFont val="Calibri"/>
        <family val="2"/>
      </rPr>
      <t xml:space="preserve">( </t>
    </r>
    <r>
      <rPr>
        <sz val="9"/>
        <color rgb="FF1F2937"/>
        <rFont val="FreeSans"/>
        <family val="2"/>
      </rPr>
      <t xml:space="preserve">تجديد عقد </t>
    </r>
    <r>
      <rPr>
        <sz val="9"/>
        <color rgb="FF1F2937"/>
        <rFont val="Calibri"/>
        <family val="2"/>
      </rPr>
      <t xml:space="preserve">) </t>
    </r>
  </si>
  <si>
    <t>23/04/2025</t>
  </si>
  <si>
    <t>23/04/2028</t>
  </si>
  <si>
    <t>توفير أداة لإنشاء الاستبيانات والتقييم جاهزة للتطبيق</t>
  </si>
  <si>
    <t>1. دعم اتخاذ القرارات
3. تمكين التحول الرقمي
6. المواءمة الاستراتيجية</t>
  </si>
  <si>
    <t>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
5. تحقيق التميز في تقديم الخدمات الرقمية من خلال التوسع في رقمنة الخدمات، وتحسين تجربة المستفيدين بما يضمن الامتثال لمعايير الحكومة الرقمية</t>
  </si>
  <si>
    <r>
      <rPr>
        <sz val="9"/>
        <color rgb="FF1F2937"/>
        <rFont val="FreeSans"/>
        <family val="2"/>
      </rPr>
      <t xml:space="preserve">رفع كفاءة اتخاذ القرار المبني على البيانات
◂ </t>
    </r>
    <r>
      <rPr>
        <sz val="9"/>
        <color rgb="FF1F2937"/>
        <rFont val="Calibri"/>
        <family val="2"/>
      </rPr>
      <t>4. مبادرة تطوير الحلول والخدمات الرقمية</t>
    </r>
  </si>
  <si>
    <r>
      <rPr>
        <sz val="9"/>
        <color rgb="FF1F2937"/>
        <rFont val="Calibri"/>
        <family val="2"/>
      </rPr>
      <t>GAP-B-01</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GAP-B-18</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</si>
  <si>
    <t>أداة لانشاء الاستبانات بشكل فورية وإمكانية تصديرها كتقارير أو بيانات</t>
  </si>
  <si>
    <t>تسهيل جمع البيانات وتحليلها.
 دعم قرارات مبنية على نتائج دقيقة.
 توحيد آليات التقييم في الهيئة.
 تقليل الاعتماد على النماذج الورقية.</t>
  </si>
  <si>
    <t>• تركيب وتشغيل اداة تحليل البيانات وتعلم الآلة جاهزة للتطبيق</t>
  </si>
  <si>
    <t>ليدرز سوفت لتقنية المعلومات</t>
  </si>
  <si>
    <t>الأعمال و التطبيقات والبيانات</t>
  </si>
  <si>
    <t>منتهي</t>
  </si>
  <si>
    <t>مشروع الصيانة والدعم الفني لأجهزة البصمة في هيئة تقويم التعليم والتدريب و المراكز التابعة لها</t>
  </si>
  <si>
    <t>4. بناء قدرات رقمية وطنية وتمكين الكفاءات المتخصصة والعامة في مجال البيانات والتحول الرقمي، من خلال مسارات تدريبية مستهدفة متوافقة مع معايير بناء الكفاءات
6. تنظيم الاستفادة من البنية التحتية التقنية بما يضمن استمرارية الأعمال وحوكمة الكفاءة التشغيلية</t>
  </si>
  <si>
    <r>
      <rPr>
        <sz val="9"/>
        <color rgb="FF1F2937"/>
        <rFont val="Calibri"/>
        <family val="2"/>
      </rPr>
      <t>GAP-B-14</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GAP-T-11</t>
    </r>
  </si>
  <si>
    <r>
      <rPr>
        <sz val="9"/>
        <color rgb="FF1F2937"/>
        <rFont val="Calibri"/>
        <family val="2"/>
      </rPr>
      <t>AR07</t>
    </r>
    <r>
      <rPr>
        <sz val="9"/>
        <color rgb="FF1F2937"/>
        <rFont val="FreeSans"/>
        <family val="2"/>
      </rPr>
      <t xml:space="preserve">، </t>
    </r>
    <r>
      <rPr>
        <sz val="9"/>
        <color rgb="FF1F2937"/>
        <rFont val="Calibri"/>
        <family val="2"/>
      </rPr>
      <t>BR06</t>
    </r>
    <r>
      <rPr>
        <sz val="9"/>
        <color rgb="FF1F2937"/>
        <rFont val="FreeSans"/>
        <family val="2"/>
      </rPr>
      <t xml:space="preserve">، </t>
    </r>
    <r>
      <rPr>
        <sz val="9"/>
        <color rgb="FF1F2937"/>
        <rFont val="Calibri"/>
        <family val="2"/>
      </rPr>
      <t>TR03</t>
    </r>
  </si>
  <si>
    <t>تأسيس وتنفيذ وتشغيل البنية المؤسسية في هيئة تقويم التعليم و التدريب</t>
  </si>
  <si>
    <t>3. تمكين التحول الرقمي
5. تعزيز الحوكمة المؤسسية
6. المواءمة الاستراتيجية</t>
  </si>
  <si>
    <t>1. الامتثال للسياسات ذات العلاقة بمجال البيانات والتحول الرقمي الناشئ من أنظمة الهيئة وخدماتها، ومع تعزيز الاستفادة من البيانات والأنظمة لدعم أعمال الهيئة
2. تمكين التكامل التقني مع الجهات الحكومية ذات العلاقة عبر قنوات البيانات الوطنية، لتبادل البيانات وتقديم خدمات موحدة ومترابطة للمستفيدين
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t>
  </si>
  <si>
    <r>
      <rPr>
        <sz val="9"/>
        <color rgb="FF1F2937"/>
        <rFont val="FreeSans"/>
        <family val="2"/>
      </rPr>
      <t xml:space="preserve">إعداد خطة تحول رقمية
◂ </t>
    </r>
    <r>
      <rPr>
        <sz val="9"/>
        <color rgb="FF1F2937"/>
        <rFont val="Calibri"/>
        <family val="2"/>
      </rPr>
      <t>6. مبادرة التمكين الرقمي</t>
    </r>
  </si>
  <si>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GAP-B-02</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GAP-B-30</t>
    </r>
  </si>
  <si>
    <r>
      <rPr>
        <sz val="9"/>
        <color rgb="FF1F2937"/>
        <rFont val="Calibri"/>
        <family val="2"/>
      </rPr>
      <t>AR07</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BR06</t>
    </r>
    <r>
      <rPr>
        <sz val="9"/>
        <color rgb="FF1F2937"/>
        <rFont val="FreeSans"/>
        <family val="2"/>
      </rPr>
      <t xml:space="preserve">، </t>
    </r>
    <r>
      <rPr>
        <sz val="9"/>
        <color rgb="FF1F2937"/>
        <rFont val="Calibri"/>
        <family val="2"/>
      </rPr>
      <t>DR01</t>
    </r>
  </si>
  <si>
    <r>
      <rPr>
        <sz val="9"/>
        <color rgb="FF1F2937"/>
        <rFont val="FreeSans"/>
        <family val="2"/>
      </rPr>
      <t>تأسيس وتنفيذ وتشغيل البنية المؤسسية في هيئة تقويم التعليم والتدريب باستخدام إطار العمل العاملي "</t>
    </r>
    <r>
      <rPr>
        <sz val="9"/>
        <color rgb="FF1F2937"/>
        <rFont val="Calibri"/>
        <family val="2"/>
      </rPr>
      <t xml:space="preserve">TOGAF"، بحيث يؤدي اعتمادها إلى الموائمة بين الأعمال وتقنية المعلومات، وزيادة إمكانية التشغيل البيني، وتحسين جودة إجراءات العمل و إدارة الأصول، والتكامل بين التطبيقات، وخفض المخاطر وانخفاض التكاليف، وكذلك ضمان تحقيق الموائمة مع المبادرات الوطنية التقنية و وضع المعايير والأدلة الاسترشادية للخدمات والتطبيقات
</t>
    </r>
    <r>
      <rPr>
        <sz val="9"/>
        <color rgb="FF1F2937"/>
        <rFont val="FreeSans"/>
        <family val="2"/>
      </rPr>
      <t>والبيانات والتقنية.</t>
    </r>
  </si>
  <si>
    <t>مواءمة الأهداف التقنية مع الاستراتيجية المؤسسية.
توحيد المعايير والمنهجيات المؤسسية.
تعزيز حوكمة القرار التقني.
دعم التخطيط والتحول الرقمي.</t>
  </si>
  <si>
    <t>• تأمين خدمة الرسائل النصية لهيئة تقويم التعليم والتدريب (تجديد العقد)
•  تشغيل وصيانة أنظمة هيئة تقويم التعليم والتدريب
• مشروع الصيانة والدعم الفني لأجهزة البصمة في هيئة تقويم التعليم والتدريب و المراكز التابعة لها</t>
  </si>
  <si>
    <t>شركة ريناد المجد</t>
  </si>
  <si>
    <t>تركيب وتشغيل اداة المحاكاة الإفتراضية للبيانات</t>
  </si>
  <si>
    <r>
      <rPr>
        <sz val="9"/>
        <color rgb="FF1F2937"/>
        <rFont val="FreeSans"/>
        <family val="2"/>
      </rPr>
      <t xml:space="preserve">تحسين جودة وتكامل البيانات وفق المعايير الوطنية
◂ </t>
    </r>
    <r>
      <rPr>
        <sz val="9"/>
        <color rgb="FF1F2937"/>
        <rFont val="Calibri"/>
        <family val="2"/>
      </rPr>
      <t>1. مبادرة الذكاء الاصطناعي والتحليلات المتقدمة</t>
    </r>
  </si>
  <si>
    <r>
      <rPr>
        <sz val="9"/>
        <color rgb="FF1F2937"/>
        <rFont val="Calibri"/>
        <family val="2"/>
      </rPr>
      <t>GAP-B-11</t>
    </r>
    <r>
      <rPr>
        <sz val="9"/>
        <color rgb="FF1F2937"/>
        <rFont val="FreeSans"/>
        <family val="2"/>
      </rPr>
      <t xml:space="preserve">، </t>
    </r>
    <r>
      <rPr>
        <sz val="9"/>
        <color rgb="FF1F2937"/>
        <rFont val="Calibri"/>
        <family val="2"/>
      </rPr>
      <t>GAP-B-12</t>
    </r>
    <r>
      <rPr>
        <sz val="9"/>
        <color rgb="FF1F2937"/>
        <rFont val="FreeSans"/>
        <family val="2"/>
      </rPr>
      <t xml:space="preserve">، </t>
    </r>
    <r>
      <rPr>
        <sz val="9"/>
        <color rgb="FF1F2937"/>
        <rFont val="Calibri"/>
        <family val="2"/>
      </rPr>
      <t>GAP-D-05</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</si>
  <si>
    <r>
      <rPr>
        <sz val="9"/>
        <color rgb="FF1F2937"/>
        <rFont val="Calibri"/>
        <family val="2"/>
      </rPr>
      <t>AR05</t>
    </r>
    <r>
      <rPr>
        <sz val="9"/>
        <color rgb="FF1F2937"/>
        <rFont val="FreeSans"/>
        <family val="2"/>
      </rPr>
      <t xml:space="preserve">، </t>
    </r>
    <r>
      <rPr>
        <sz val="9"/>
        <color rgb="FF1F2937"/>
        <rFont val="Calibri"/>
        <family val="2"/>
      </rPr>
      <t>AR08</t>
    </r>
    <r>
      <rPr>
        <sz val="9"/>
        <color rgb="FF1F2937"/>
        <rFont val="FreeSans"/>
        <family val="2"/>
      </rPr>
      <t xml:space="preserve">، </t>
    </r>
    <r>
      <rPr>
        <sz val="9"/>
        <color rgb="FF1F2937"/>
        <rFont val="Calibri"/>
        <family val="2"/>
      </rPr>
      <t>BR18</t>
    </r>
  </si>
  <si>
    <r>
      <rPr>
        <sz val="9"/>
        <color rgb="FF1F2937"/>
        <rFont val="FreeSans"/>
        <family val="2"/>
      </rPr>
      <t xml:space="preserve">تركيب حلول المحاكاة الافتراضية للبيانات </t>
    </r>
    <r>
      <rPr>
        <sz val="9"/>
        <color rgb="FF1F2937"/>
        <rFont val="Calibri"/>
        <family val="2"/>
      </rPr>
      <t xml:space="preserve">(Data virtualization tool) </t>
    </r>
    <r>
      <rPr>
        <sz val="9"/>
        <color rgb="FF1F2937"/>
        <rFont val="FreeSans"/>
        <family val="2"/>
      </rPr>
      <t>وتشغيلها</t>
    </r>
    <r>
      <rPr>
        <sz val="9"/>
        <color rgb="FF1F2937"/>
        <rFont val="Calibri"/>
        <family val="2"/>
      </rPr>
      <t>.</t>
    </r>
  </si>
  <si>
    <t>دعم اختبار السيناريوهات وتحليل البيانات.
تحسين دقة التقارير دون المساس بالبيانات الفعلية.
تقليل المخاطر المرتبطة بالبيانات الحقيقية.</t>
  </si>
  <si>
    <t>شركة الإجادة للنظم المحدودة</t>
  </si>
  <si>
    <t>البيانات</t>
  </si>
  <si>
    <t>24/03/2024</t>
  </si>
  <si>
    <t>26/03/2026</t>
  </si>
  <si>
    <t>توفير خدمة للتعلم الإلكتروني جاهزة للاستخدام</t>
  </si>
  <si>
    <r>
      <rPr>
        <sz val="9"/>
        <color rgb="FF1F2937"/>
        <rFont val="Calibri"/>
        <family val="2"/>
      </rPr>
      <t xml:space="preserve">4. </t>
    </r>
    <r>
      <rPr>
        <sz val="9"/>
        <color rgb="FF1F2937"/>
        <rFont val="FreeSans"/>
        <family val="2"/>
      </rPr>
      <t>دعم تحسين تجربة المستفيد</t>
    </r>
  </si>
  <si>
    <r>
      <rPr>
        <sz val="9"/>
        <color rgb="FF1F2937"/>
        <rFont val="FreeSans"/>
        <family val="2"/>
      </rPr>
      <t xml:space="preserve">تحسين تجربة المستفيد وتوحيد مسار ات تقديم الخدمات الرقمية
◂ </t>
    </r>
    <r>
      <rPr>
        <sz val="9"/>
        <color rgb="FF1F2937"/>
        <rFont val="Calibri"/>
        <family val="2"/>
      </rPr>
      <t>4. مبادرة تطوير الحلول والخدمات الرقمية</t>
    </r>
  </si>
  <si>
    <r>
      <rPr>
        <sz val="9"/>
        <color rgb="FF1F2937"/>
        <rFont val="Calibri"/>
        <family val="2"/>
      </rPr>
      <t>GAP-B-14</t>
    </r>
    <r>
      <rPr>
        <sz val="9"/>
        <color rgb="FF1F2937"/>
        <rFont val="FreeSans"/>
        <family val="2"/>
      </rPr>
      <t xml:space="preserve">، </t>
    </r>
    <r>
      <rPr>
        <sz val="9"/>
        <color rgb="FF1F2937"/>
        <rFont val="Calibri"/>
        <family val="2"/>
      </rPr>
      <t>GAP-B-18</t>
    </r>
    <r>
      <rPr>
        <sz val="9"/>
        <color rgb="FF1F2937"/>
        <rFont val="FreeSans"/>
        <family val="2"/>
      </rPr>
      <t xml:space="preserve">، </t>
    </r>
    <r>
      <rPr>
        <sz val="9"/>
        <color rgb="FF1F2937"/>
        <rFont val="Calibri"/>
        <family val="2"/>
      </rPr>
      <t>GAP-B-28</t>
    </r>
  </si>
  <si>
    <r>
      <rPr>
        <sz val="9"/>
        <color rgb="FF1F2937"/>
        <rFont val="Calibri"/>
        <family val="2"/>
      </rPr>
      <t>AR09</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BR04</t>
    </r>
  </si>
  <si>
    <t>توفير خدمات للتعليم الالكتروني</t>
  </si>
  <si>
    <r>
      <rPr>
        <sz val="9"/>
        <color rgb="FF1F2937"/>
        <rFont val="FreeSans"/>
        <family val="2"/>
      </rPr>
      <t>• توفير خدمة للتعلم الإلكتروني جاهزة للاستخدام</t>
    </r>
    <r>
      <rPr>
        <sz val="9"/>
        <color rgb="FF1F2937"/>
        <rFont val="Calibri"/>
        <family val="2"/>
      </rPr>
      <t>(</t>
    </r>
    <r>
      <rPr>
        <sz val="9"/>
        <color rgb="FF1F2937"/>
        <rFont val="FreeSans"/>
        <family val="2"/>
      </rPr>
      <t>تجديد العقد</t>
    </r>
    <r>
      <rPr>
        <sz val="9"/>
        <color rgb="FF1F2937"/>
        <rFont val="Calibri"/>
        <family val="2"/>
      </rPr>
      <t>)</t>
    </r>
  </si>
  <si>
    <t>الإدارة العامة للتطوير</t>
  </si>
  <si>
    <t>شركة نسيج للتقنية</t>
  </si>
  <si>
    <t>مشروع شراء وتجديد رخص البرامج في هيئة تقويم التعليم والتدريب</t>
  </si>
  <si>
    <t>1. الامتثال للسياسات ذات العلاقة بمجال البيانات والتحول الرقمي الناشئ من أنظمة الهيئة وخدماتها، ومع تعزيز الاستفادة من البيانات والأنظمة لدعم أعمال الهيئة
4. بناء قدرات رقمية وطنية وتمكين الكفاءات المتخصصة والعامة في مجال البيانات والتحول الرقمي، من خلال مسارات تدريبية مستهدفة متوافقة مع معايير بناء الكفاءات
6. تنظيم الاستفادة من البنية التحتية التقنية بما يضمن استمرارية الأعمال وحوكمة الكفاءة التشغيلية</t>
  </si>
  <si>
    <r>
      <rPr>
        <sz val="9"/>
        <color rgb="FF1F2937"/>
        <rFont val="Calibri"/>
        <family val="2"/>
      </rPr>
      <t>GAP-B-14</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r>
      <rPr>
        <sz val="9"/>
        <color rgb="FF1F2937"/>
        <rFont val="FreeSans"/>
        <family val="2"/>
      </rPr>
      <t xml:space="preserve">، </t>
    </r>
    <r>
      <rPr>
        <sz val="9"/>
        <color rgb="FF1F2937"/>
        <rFont val="Calibri"/>
        <family val="2"/>
      </rPr>
      <t>GAP-T-12</t>
    </r>
  </si>
  <si>
    <t>شراء وتجديد رخص البرامج التشغيلية و تجديد رخص سيسكو في هيئة
تقويم التعليم والتدريب — شراء وتجديد رخص البرامج التشغيلية 
تقويم التعليم والتدريب</t>
  </si>
  <si>
    <t>إستمرارية الأعمال لتشغيل برامج الهيئة</t>
  </si>
  <si>
    <t>صيانة وتطوير تطبيق التحقق من هوية المختبرين</t>
  </si>
  <si>
    <r>
      <rPr>
        <sz val="9"/>
        <color rgb="FF1F2937"/>
        <rFont val="Calibri"/>
        <family val="2"/>
      </rPr>
      <t>GAP-A-07</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GAP-T-11</t>
    </r>
  </si>
  <si>
    <r>
      <rPr>
        <sz val="9"/>
        <color rgb="FF1F2937"/>
        <rFont val="Calibri"/>
        <family val="2"/>
      </rPr>
      <t>AR07</t>
    </r>
    <r>
      <rPr>
        <sz val="9"/>
        <color rgb="FF1F2937"/>
        <rFont val="FreeSans"/>
        <family val="2"/>
      </rPr>
      <t xml:space="preserve">، </t>
    </r>
    <r>
      <rPr>
        <sz val="9"/>
        <color rgb="FF1F2937"/>
        <rFont val="Calibri"/>
        <family val="2"/>
      </rPr>
      <t>TR01</t>
    </r>
    <r>
      <rPr>
        <sz val="9"/>
        <color rgb="FF1F2937"/>
        <rFont val="FreeSans"/>
        <family val="2"/>
      </rPr>
      <t xml:space="preserve">، </t>
    </r>
    <r>
      <rPr>
        <sz val="9"/>
        <color rgb="FF1F2937"/>
        <rFont val="Calibri"/>
        <family val="2"/>
      </rPr>
      <t>TR03</t>
    </r>
  </si>
  <si>
    <r>
      <rPr>
        <sz val="9"/>
        <color rgb="FF1F2937"/>
        <rFont val="FreeSans"/>
        <family val="2"/>
      </rPr>
      <t xml:space="preserve">الصيانة والتطوير لنظام التحقق من هوية المختبرين من خلال الخصائص الحيوية </t>
    </r>
    <r>
      <rPr>
        <sz val="9"/>
        <color rgb="FF1F2937"/>
        <rFont val="Calibri"/>
        <family val="2"/>
      </rPr>
      <t>(</t>
    </r>
    <r>
      <rPr>
        <sz val="9"/>
        <color rgb="FF1F2937"/>
        <rFont val="FreeSans"/>
        <family val="2"/>
      </rPr>
      <t>البصمة</t>
    </r>
    <r>
      <rPr>
        <sz val="9"/>
        <color rgb="FF1F2937"/>
        <rFont val="Calibri"/>
        <family val="2"/>
      </rPr>
      <t xml:space="preserve">) </t>
    </r>
    <r>
      <rPr>
        <sz val="9"/>
        <color rgb="FF1F2937"/>
        <rFont val="FreeSans"/>
        <family val="2"/>
      </rPr>
      <t>وتأمين علميات تحقق من الهوية من مركز المعلومات الوطني عن طريق أجهزة قراءة البصمة بالاعتماد على البصمات المسجلة في قاعدة مركز المعلومات الوطني بغرض التحقق من هوية المختبر قبل الدخول لمقرات الاختبارات المحوسبة</t>
    </r>
  </si>
  <si>
    <t>تعزيز أمن وموثوقية الاختبارات.
تقليل فرص التزوير والانتحال.
تحسين تجربة المستخدم في التحقق.</t>
  </si>
  <si>
    <r>
      <rPr>
        <sz val="9"/>
        <color rgb="FF1F2937"/>
        <rFont val="FreeSans"/>
        <family val="2"/>
      </rPr>
      <t>• صيانة وتطوير تطبيق التحقق من هوية المختبرين</t>
    </r>
    <r>
      <rPr>
        <sz val="9"/>
        <color rgb="FF1F2937"/>
        <rFont val="Calibri"/>
        <family val="2"/>
      </rPr>
      <t>(</t>
    </r>
    <r>
      <rPr>
        <sz val="9"/>
        <color rgb="FF1F2937"/>
        <rFont val="FreeSans"/>
        <family val="2"/>
      </rPr>
      <t>تجديد العقد</t>
    </r>
    <r>
      <rPr>
        <sz val="9"/>
        <color rgb="FF1F2937"/>
        <rFont val="Calibri"/>
        <family val="2"/>
      </rPr>
      <t>)</t>
    </r>
  </si>
  <si>
    <t>المعالم الدولية لتقنية المعلومات</t>
  </si>
  <si>
    <t>تقديم خدمات لأنظمة تطبيق الاختبارات المحوسبة</t>
  </si>
  <si>
    <t>3. تمكين التحول الرقمي
4. دعم تحسين تجربة المستفيد</t>
  </si>
  <si>
    <r>
      <rPr>
        <sz val="9"/>
        <color rgb="FF1F2937"/>
        <rFont val="Calibri"/>
        <family val="2"/>
      </rPr>
      <t>GAP-B-01</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</si>
  <si>
    <t>تقديم خدمات لانظمة الاختبارات الرقمية والأنظمة الداعمة لها</t>
  </si>
  <si>
    <t>تحسين تجربة المستفيد • تسهيل الوصول إلى الخدمات الرقمية • دعم منظومة الاختبارات والتقويم • رفع جودة إجراء الاختبارات الرقمية</t>
  </si>
  <si>
    <t>•  تقديم خدمات لأنظمة تطبيق الاختبارات المحوسبة</t>
  </si>
  <si>
    <t>تجديد عقد</t>
  </si>
  <si>
    <r>
      <rPr>
        <sz val="9"/>
        <color rgb="FF1F2937"/>
        <rFont val="FreeSans"/>
        <family val="2"/>
      </rPr>
      <t>تشغيل وصيانة خدمات الافراد في هيئة تقويم التعليم والتدريب</t>
    </r>
    <r>
      <rPr>
        <sz val="9"/>
        <color rgb="FF1F2937"/>
        <rFont val="Calibri"/>
        <family val="2"/>
      </rPr>
      <t>.</t>
    </r>
  </si>
  <si>
    <r>
      <rPr>
        <sz val="9"/>
        <color rgb="FF1F2937"/>
        <rFont val="FreeSans"/>
        <family val="2"/>
      </rPr>
      <t xml:space="preserve">رفع جاهزية واستدامة البنية التحتية التقنية
◂ </t>
    </r>
    <r>
      <rPr>
        <sz val="9"/>
        <color rgb="FF1F2937"/>
        <rFont val="Calibri"/>
        <family val="2"/>
      </rPr>
      <t>4. مبادرة تطوير الحلول والخدمات الرقمية</t>
    </r>
  </si>
  <si>
    <r>
      <rPr>
        <sz val="9"/>
        <color rgb="FF1F2937"/>
        <rFont val="Calibri"/>
        <family val="2"/>
      </rPr>
      <t>GAP-A-06</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GAP-B-28</t>
    </r>
  </si>
  <si>
    <r>
      <rPr>
        <sz val="9"/>
        <color rgb="FF1F2937"/>
        <rFont val="Calibri"/>
        <family val="2"/>
      </rPr>
      <t>AR06</t>
    </r>
    <r>
      <rPr>
        <sz val="9"/>
        <color rgb="FF1F2937"/>
        <rFont val="FreeSans"/>
        <family val="2"/>
      </rPr>
      <t xml:space="preserve">، </t>
    </r>
    <r>
      <rPr>
        <sz val="9"/>
        <color rgb="FF1F2937"/>
        <rFont val="Calibri"/>
        <family val="2"/>
      </rPr>
      <t>BR04</t>
    </r>
    <r>
      <rPr>
        <sz val="9"/>
        <color rgb="FF1F2937"/>
        <rFont val="FreeSans"/>
        <family val="2"/>
      </rPr>
      <t xml:space="preserve">، </t>
    </r>
    <r>
      <rPr>
        <sz val="9"/>
        <color rgb="FF1F2937"/>
        <rFont val="Calibri"/>
        <family val="2"/>
      </rPr>
      <t>BR06</t>
    </r>
  </si>
  <si>
    <r>
      <rPr>
        <sz val="9"/>
        <color rgb="FF1F2937"/>
        <rFont val="FreeSans"/>
        <family val="2"/>
      </rPr>
      <t xml:space="preserve">توفير الأدوات التقنية اللازمة والكوادر المؤهلة فنياً لمراقبة جميع الأنشطة والعمليات المتضمنة في ضمان الأداء لخدمات الأفراد لتعمل بشكل سلس وفعال وبكامل طاقتها وعلى النحو الأمثل بشكل مستمر دون توقف </t>
    </r>
    <r>
      <rPr>
        <sz val="9"/>
        <color rgb="FF1F2937"/>
        <rFont val="Calibri"/>
        <family val="2"/>
      </rPr>
      <t xml:space="preserve">24/7 </t>
    </r>
    <r>
      <rPr>
        <sz val="9"/>
        <color rgb="FF1F2937"/>
        <rFont val="FreeSans"/>
        <family val="2"/>
      </rPr>
      <t>وتقليل حدوث الأخطاء والمشاكل الفنية وأخذ التدابير الاستباقية والاستجابة الكاملة لمتطلبات التغيير لضمان تحسين ورفع جودتها وتلبية متطلبات العمل وتحسين تجربة المستخدم</t>
    </r>
    <r>
      <rPr>
        <sz val="9"/>
        <color rgb="FF1F2937"/>
        <rFont val="Calibri"/>
        <family val="2"/>
      </rPr>
      <t>..</t>
    </r>
  </si>
  <si>
    <t>تحسين تجربة المستخدم للأفراد.
رفع موثوقية الخدمات المقدمة إلكترونيًا.
تقليل الأعطال وتحسين استجابة الأنظمة.
دعم الكفاءة التشغيلية الرقمية.</t>
  </si>
  <si>
    <t>•  تشغيل وصيانة أنظمة هيئة تقويم التعليم والتدريب
• تأسيس وتنفيذ وتشغيل البنية المؤسسية في هيئة تقويم التعليم و التدريب
• تشغيل البنية المؤسسية في هيئة تقويم التعليم و التدريب</t>
  </si>
  <si>
    <t>25/11/2025</t>
  </si>
  <si>
    <t>25/11/2027</t>
  </si>
  <si>
    <t>منصة و تطبيق سديد</t>
  </si>
  <si>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GAP-T-12</t>
    </r>
  </si>
  <si>
    <r>
      <rPr>
        <sz val="9"/>
        <color rgb="FF1F2937"/>
        <rFont val="Calibri"/>
        <family val="2"/>
      </rPr>
      <t>AR06</t>
    </r>
    <r>
      <rPr>
        <sz val="9"/>
        <color rgb="FF1F2937"/>
        <rFont val="FreeSans"/>
        <family val="2"/>
      </rPr>
      <t xml:space="preserve">، </t>
    </r>
    <r>
      <rPr>
        <sz val="9"/>
        <color rgb="FF1F2937"/>
        <rFont val="Calibri"/>
        <family val="2"/>
      </rPr>
      <t>AR14</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BR04</t>
    </r>
    <r>
      <rPr>
        <sz val="9"/>
        <color rgb="FF1F2937"/>
        <rFont val="FreeSans"/>
        <family val="2"/>
      </rPr>
      <t xml:space="preserve">، </t>
    </r>
    <r>
      <rPr>
        <sz val="9"/>
        <color rgb="FF1F2937"/>
        <rFont val="Calibri"/>
        <family val="2"/>
      </rPr>
      <t>BR16</t>
    </r>
  </si>
  <si>
    <r>
      <rPr>
        <sz val="9"/>
        <color rgb="FF1F2937"/>
        <rFont val="FreeSans"/>
        <family val="2"/>
      </rPr>
      <t>منصة موحدة للخدمات المقدمة من قبل الهيئة للأفراد وتشمل على الاختبارات</t>
    </r>
    <r>
      <rPr>
        <sz val="9"/>
        <color rgb="FF1F2937"/>
        <rFont val="Calibri"/>
        <family val="2"/>
      </rPr>
      <t xml:space="preserve">, </t>
    </r>
    <r>
      <rPr>
        <sz val="9"/>
        <color rgb="FF1F2937"/>
        <rFont val="FreeSans"/>
        <family val="2"/>
      </rPr>
      <t>الرخص</t>
    </r>
    <r>
      <rPr>
        <sz val="9"/>
        <color rgb="FF1F2937"/>
        <rFont val="Calibri"/>
        <family val="2"/>
      </rPr>
      <t xml:space="preserve">, </t>
    </r>
    <r>
      <rPr>
        <sz val="9"/>
        <color rgb="FF1F2937"/>
        <rFont val="FreeSans"/>
        <family val="2"/>
      </rPr>
      <t>الدورات و ورش العمل</t>
    </r>
    <r>
      <rPr>
        <sz val="9"/>
        <color rgb="FF1F2937"/>
        <rFont val="Calibri"/>
        <family val="2"/>
      </rPr>
      <t>.</t>
    </r>
  </si>
  <si>
    <t>تحسين تجربة المستفيد • تسهيل الوصول إلى الخدمات الرقمية • أتمتة الإجراءات ورفع الكفاءة التشغيلية • تقليل الاعتماد على العمليات اليدوية</t>
  </si>
  <si>
    <t>• تطوير تطبيق ومنصة مستقبلهم
• تطوير تطبيق ومنصة مستقبلهم</t>
  </si>
  <si>
    <t>31/12/2024</t>
  </si>
  <si>
    <t>31/12/2026</t>
  </si>
  <si>
    <t>تطوير نظامي اختبارات الطوارئ والاختبارات المؤسسية</t>
  </si>
  <si>
    <r>
      <rPr>
        <sz val="9"/>
        <color rgb="FF1F2937"/>
        <rFont val="FreeSans"/>
        <family val="2"/>
      </rPr>
      <t xml:space="preserve">رفع الكفاءة التشغيلية من خلال الرقمنة
◂ </t>
    </r>
    <r>
      <rPr>
        <sz val="9"/>
        <color rgb="FF1F2937"/>
        <rFont val="Calibri"/>
        <family val="2"/>
      </rPr>
      <t>4. مبادرة تطوير الحلول والخدمات الرقمية</t>
    </r>
  </si>
  <si>
    <r>
      <rPr>
        <sz val="9"/>
        <color rgb="FF1F2937"/>
        <rFont val="Calibri"/>
        <family val="2"/>
      </rPr>
      <t>GAP-B-01</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</si>
  <si>
    <r>
      <rPr>
        <sz val="9"/>
        <color rgb="FF1F2937"/>
        <rFont val="Calibri"/>
        <family val="2"/>
      </rPr>
      <t>AR13</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TR03</t>
    </r>
  </si>
  <si>
    <t>تطوير نظامي اختبارات الطوارئ والاختبارات المؤسسية في المقرات الرقمية داخل الهيئة و خارجها و التأكد من عمليات تطبيق الاختبارات و تقديم الدعم الفني للحفاظ علي أداء عالٍ للنظام</t>
  </si>
  <si>
    <t>ضمان استمرارية التقييم في الظروف الاستثنائية.
تنويع أساليب التقييم الرقمية.
رفع مستوى الجاهزية المؤسسية.
استجابة مرنة للأزمات.</t>
  </si>
  <si>
    <t>• تشغيل وصيانة اختبارات الطوارئ والاختبارات المؤسسية</t>
  </si>
  <si>
    <t>الإدارة العامة لأنظمة الاختبارات</t>
  </si>
  <si>
    <t>التطبيقات و الأعمال</t>
  </si>
  <si>
    <t>تطوير تطبيق ومنصة مستقبلهم</t>
  </si>
  <si>
    <r>
      <rPr>
        <sz val="9"/>
        <color rgb="FF1F2937"/>
        <rFont val="Calibri"/>
        <family val="2"/>
      </rPr>
      <t>GAP-A-06</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GAP-B-18</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</si>
  <si>
    <r>
      <rPr>
        <sz val="9"/>
        <color rgb="FF1F2937"/>
        <rFont val="Calibri"/>
        <family val="2"/>
      </rPr>
      <t>AR14</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BR04</t>
    </r>
  </si>
  <si>
    <r>
      <rPr>
        <sz val="9"/>
        <color rgb="FF1F2937"/>
        <rFont val="FreeSans"/>
        <family val="2"/>
      </rPr>
      <t xml:space="preserve">توفير الأدوات التقنية اللازمة والكوادر المؤهلة فنياً لمراقبة جميع الأنشطة والعمليات المتضمنة في ضمان الأداء لتطبيق مستقبلهم لتعمل بشكل سلس وفعال وبكامل طاقتها وعلى النحو الأمثل بشكل مستمر دون توقف </t>
    </r>
    <r>
      <rPr>
        <sz val="9"/>
        <color rgb="FF1F2937"/>
        <rFont val="Calibri"/>
        <family val="2"/>
      </rPr>
      <t xml:space="preserve">24/7 </t>
    </r>
    <r>
      <rPr>
        <sz val="9"/>
        <color rgb="FF1F2937"/>
        <rFont val="FreeSans"/>
        <family val="2"/>
      </rPr>
      <t>وتقليل حدوث الأخطاء والمشاكل الفنية وأخذ التدابير الاستباقية والاستجابة الكاملة لمتطلبات التغيير لضمان تحسين ورفع جودتها وتلبية متطلبات العمل وتحسين تجربة المستخدم</t>
    </r>
    <r>
      <rPr>
        <sz val="9"/>
        <color rgb="FF1F2937"/>
        <rFont val="Calibri"/>
        <family val="2"/>
      </rPr>
      <t>..</t>
    </r>
  </si>
  <si>
    <t>رفع كفاءة التطبيق وتحسين أدائه.
توفير دعم فني مستمر للمستخدمين.
تقليل التوقفات الفنية والتقنية.
تعزيز التفاعل مع أولياء الأمور.</t>
  </si>
  <si>
    <t>• صيانة وتطوير تطبيق التحقق من هوية المختبرين
• صيانة وتطوير تطبيق التحقق من هوية المختبرين(تجديد العقد)
• تطوير تطبيق ومنصة مستقبلهم</t>
  </si>
  <si>
    <t>إدارة التخطيط و الجودة</t>
  </si>
  <si>
    <r>
      <rPr>
        <sz val="9"/>
        <color rgb="FF1F2937"/>
        <rFont val="FreeSans"/>
        <family val="2"/>
      </rPr>
      <t xml:space="preserve">توسيع نطاق تقديم الاختبارات الرقمية في مدن مختارة لتحسين الوصول الجغرافي </t>
    </r>
    <r>
      <rPr>
        <sz val="9"/>
        <color rgb="FF1F2937"/>
        <rFont val="Calibri"/>
        <family val="2"/>
      </rPr>
      <t>(</t>
    </r>
    <r>
      <rPr>
        <sz val="9"/>
        <color rgb="FF1F2937"/>
        <rFont val="FreeSans"/>
        <family val="2"/>
      </rPr>
      <t xml:space="preserve">أبها </t>
    </r>
    <r>
      <rPr>
        <sz val="9"/>
        <color rgb="FF1F2937"/>
        <rFont val="Calibri"/>
        <family val="2"/>
      </rPr>
      <t xml:space="preserve">, </t>
    </r>
    <r>
      <rPr>
        <sz val="9"/>
        <color rgb="FF1F2937"/>
        <rFont val="FreeSans"/>
        <family val="2"/>
      </rPr>
      <t xml:space="preserve">مكة المكرمة </t>
    </r>
    <r>
      <rPr>
        <sz val="9"/>
        <color rgb="FF1F2937"/>
        <rFont val="Calibri"/>
        <family val="2"/>
      </rPr>
      <t xml:space="preserve">, </t>
    </r>
    <r>
      <rPr>
        <sz val="9"/>
        <color rgb="FF1F2937"/>
        <rFont val="FreeSans"/>
        <family val="2"/>
      </rPr>
      <t xml:space="preserve">حائل </t>
    </r>
    <r>
      <rPr>
        <sz val="9"/>
        <color rgb="FF1F2937"/>
        <rFont val="Calibri"/>
        <family val="2"/>
      </rPr>
      <t xml:space="preserve">, </t>
    </r>
    <r>
      <rPr>
        <sz val="9"/>
        <color rgb="FF1F2937"/>
        <rFont val="FreeSans"/>
        <family val="2"/>
      </rPr>
      <t>الخرج</t>
    </r>
    <r>
      <rPr>
        <sz val="9"/>
        <color rgb="FF1F2937"/>
        <rFont val="Calibri"/>
        <family val="2"/>
      </rPr>
      <t xml:space="preserve">, </t>
    </r>
    <r>
      <rPr>
        <sz val="9"/>
        <color rgb="FF1F2937"/>
        <rFont val="FreeSans"/>
        <family val="2"/>
      </rPr>
      <t xml:space="preserve">حفر الباطن </t>
    </r>
    <r>
      <rPr>
        <sz val="9"/>
        <color rgb="FF1F2937"/>
        <rFont val="Calibri"/>
        <family val="2"/>
      </rPr>
      <t>)</t>
    </r>
  </si>
  <si>
    <t>1. دعم اتخاذ القرارات
2. تعزيز الكفاءة التشغيلية وكفاءة الإنفاق
4. دعم تحسين تجربة المستفيد</t>
  </si>
  <si>
    <r>
      <rPr>
        <sz val="9"/>
        <color rgb="FF1F2937"/>
        <rFont val="Calibri"/>
        <family val="2"/>
      </rPr>
      <t>GAP-A-02</t>
    </r>
    <r>
      <rPr>
        <sz val="9"/>
        <color rgb="FF1F2937"/>
        <rFont val="FreeSans"/>
        <family val="2"/>
      </rPr>
      <t xml:space="preserve">، </t>
    </r>
    <r>
      <rPr>
        <sz val="9"/>
        <color rgb="FF1F2937"/>
        <rFont val="Calibri"/>
        <family val="2"/>
      </rPr>
      <t>GAP-A-03</t>
    </r>
    <r>
      <rPr>
        <sz val="9"/>
        <color rgb="FF1F2937"/>
        <rFont val="FreeSans"/>
        <family val="2"/>
      </rPr>
      <t xml:space="preserve">، </t>
    </r>
    <r>
      <rPr>
        <sz val="9"/>
        <color rgb="FF1F2937"/>
        <rFont val="Calibri"/>
        <family val="2"/>
      </rPr>
      <t>GAP-A-06</t>
    </r>
    <r>
      <rPr>
        <sz val="9"/>
        <color rgb="FF1F2937"/>
        <rFont val="FreeSans"/>
        <family val="2"/>
      </rPr>
      <t xml:space="preserve">، </t>
    </r>
    <r>
      <rPr>
        <sz val="9"/>
        <color rgb="FF1F2937"/>
        <rFont val="Calibri"/>
        <family val="2"/>
      </rPr>
      <t>GAP-A-08</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GAP-B-08</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</si>
  <si>
    <r>
      <rPr>
        <sz val="9"/>
        <color rgb="FF1F2937"/>
        <rFont val="Calibri"/>
        <family val="2"/>
      </rPr>
      <t>AR05</t>
    </r>
    <r>
      <rPr>
        <sz val="9"/>
        <color rgb="FF1F2937"/>
        <rFont val="FreeSans"/>
        <family val="2"/>
      </rPr>
      <t xml:space="preserve">، </t>
    </r>
    <r>
      <rPr>
        <sz val="9"/>
        <color rgb="FF1F2937"/>
        <rFont val="Calibri"/>
        <family val="2"/>
      </rPr>
      <t>AR08</t>
    </r>
    <r>
      <rPr>
        <sz val="9"/>
        <color rgb="FF1F2937"/>
        <rFont val="FreeSans"/>
        <family val="2"/>
      </rPr>
      <t xml:space="preserve">، </t>
    </r>
    <r>
      <rPr>
        <sz val="9"/>
        <color rgb="FF1F2937"/>
        <rFont val="Calibri"/>
        <family val="2"/>
      </rPr>
      <t>DR01</t>
    </r>
  </si>
  <si>
    <r>
      <rPr>
        <sz val="9"/>
        <color rgb="FF1F2937"/>
        <rFont val="FreeSans"/>
        <family val="2"/>
      </rPr>
      <t xml:space="preserve">تقديم خدمة أداء الاختبارات الرقمية للجنسين بشكل منفصل في مدن أبها </t>
    </r>
    <r>
      <rPr>
        <sz val="9"/>
        <color rgb="FF1F2937"/>
        <rFont val="Calibri"/>
        <family val="2"/>
      </rPr>
      <t xml:space="preserve">, </t>
    </r>
    <r>
      <rPr>
        <sz val="9"/>
        <color rgb="FF1F2937"/>
        <rFont val="FreeSans"/>
        <family val="2"/>
      </rPr>
      <t xml:space="preserve">مكة </t>
    </r>
    <r>
      <rPr>
        <sz val="9"/>
        <color rgb="FF1F2937"/>
        <rFont val="Calibri"/>
        <family val="2"/>
      </rPr>
      <t xml:space="preserve">, </t>
    </r>
    <r>
      <rPr>
        <sz val="9"/>
        <color rgb="FF1F2937"/>
        <rFont val="FreeSans"/>
        <family val="2"/>
      </rPr>
      <t xml:space="preserve">حائل </t>
    </r>
    <r>
      <rPr>
        <sz val="9"/>
        <color rgb="FF1F2937"/>
        <rFont val="Calibri"/>
        <family val="2"/>
      </rPr>
      <t xml:space="preserve">, </t>
    </r>
    <r>
      <rPr>
        <sz val="9"/>
        <color rgb="FF1F2937"/>
        <rFont val="FreeSans"/>
        <family val="2"/>
      </rPr>
      <t>الخرج</t>
    </r>
    <r>
      <rPr>
        <sz val="9"/>
        <color rgb="FF1F2937"/>
        <rFont val="Calibri"/>
        <family val="2"/>
      </rPr>
      <t xml:space="preserve">, </t>
    </r>
    <r>
      <rPr>
        <sz val="9"/>
        <color rgb="FF1F2937"/>
        <rFont val="FreeSans"/>
        <family val="2"/>
      </rPr>
      <t xml:space="preserve">حفر الباطن </t>
    </r>
    <r>
      <rPr>
        <sz val="9"/>
        <color rgb="FF1F2937"/>
        <rFont val="Calibri"/>
        <family val="2"/>
      </rPr>
      <t xml:space="preserve">). </t>
    </r>
    <r>
      <rPr>
        <sz val="9"/>
        <color rgb="FF1F2937"/>
        <rFont val="FreeSans"/>
        <family val="2"/>
      </rPr>
      <t>بداية من استقبال المختبرين وتوثيق بياناتهم وتنظيم دخولهم لقاعة الاختبار ومراقبة الاختبارات إلى انتهائها وتنظيم مغادرتهم</t>
    </r>
    <r>
      <rPr>
        <sz val="9"/>
        <color rgb="FF1F2937"/>
        <rFont val="Calibri"/>
        <family val="2"/>
      </rPr>
      <t>.</t>
    </r>
  </si>
  <si>
    <t>تحسين إتاحة فرص التقييم.
تقليل التكاليف المرتبطة بالتنقل.
تعزيز التغطية الجغرافية للهيئة.
تحسين كفاءة تنظيم الجلسات.</t>
  </si>
  <si>
    <t>ملغي</t>
  </si>
  <si>
    <t>توفير خدمة اختبارات بالكبائن الذكية</t>
  </si>
  <si>
    <t>1. دعم اتخاذ القرارات
3. تمكين التحول الرقمي
4. دعم تحسين تجربة المستفيد</t>
  </si>
  <si>
    <r>
      <rPr>
        <sz val="9"/>
        <color rgb="FF1F2937"/>
        <rFont val="Calibri"/>
        <family val="2"/>
      </rPr>
      <t>GAP-A-06</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GAP-D-17</t>
    </r>
  </si>
  <si>
    <r>
      <rPr>
        <sz val="9"/>
        <color rgb="FF1F2937"/>
        <rFont val="Calibri"/>
        <family val="2"/>
      </rPr>
      <t>AR18</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TR01</t>
    </r>
  </si>
  <si>
    <r>
      <rPr>
        <sz val="9"/>
        <color rgb="FF1F2937"/>
        <rFont val="FreeSans"/>
        <family val="2"/>
      </rPr>
      <t>كبائن ذكية من مقعد واحد لتطبيق الاختبارات</t>
    </r>
    <r>
      <rPr>
        <sz val="9"/>
        <color rgb="FF1F2937"/>
        <rFont val="Calibri"/>
        <family val="2"/>
      </rPr>
      <t xml:space="preserve">, </t>
    </r>
    <r>
      <rPr>
        <sz val="9"/>
        <color rgb="FF1F2937"/>
        <rFont val="FreeSans"/>
        <family val="2"/>
      </rPr>
      <t>تعتمد في تشغيلها على تقنيات الذكاء الاصطناعي و المراقبة عن بعد</t>
    </r>
  </si>
  <si>
    <t>توفير حلول اختبار مرنة وذاتية الخدمة.
تقليل الحاجة إلى مراقبين بشريين.
تعزيز الأمان والتحقق الرقمي.
دعم الوصول للمناطق النائية.</t>
  </si>
  <si>
    <t>• تقديم خدمة أداء الاختبارات الرقمية بالرياض ، الدمام ، المدينة المنورة ، الطائف ، بريدة ، الهفوف ،جازان ، جدة
• توفير خدمة للتعلم الإلكتروني جاهزة للاستخدام
• توفير خدمة الاشتراك في موقع إلكتروني لتقديم خدمات الدعم والأبحاث التقنية</t>
  </si>
  <si>
    <t>الأعمال و البيانات</t>
  </si>
  <si>
    <t>تفعيل الابتكار الرقمي في بناء منتجات ابتكارية جديدة</t>
  </si>
  <si>
    <r>
      <rPr>
        <sz val="9"/>
        <color rgb="FF1F2937"/>
        <rFont val="FreeSans"/>
        <family val="2"/>
      </rPr>
      <t xml:space="preserve">تحفيز الابتكار الرقمي
◂ </t>
    </r>
    <r>
      <rPr>
        <sz val="9"/>
        <color rgb="FF1F2937"/>
        <rFont val="Calibri"/>
        <family val="2"/>
      </rPr>
      <t>1. مبادرة الذكاء الاصطناعي والتحليلات المتقدمة</t>
    </r>
  </si>
  <si>
    <r>
      <rPr>
        <sz val="9"/>
        <color rgb="FF1F2937"/>
        <rFont val="Calibri"/>
        <family val="2"/>
      </rPr>
      <t>GAP-B-04</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GAP-B-18</t>
    </r>
    <r>
      <rPr>
        <sz val="9"/>
        <color rgb="FF1F2937"/>
        <rFont val="FreeSans"/>
        <family val="2"/>
      </rPr>
      <t xml:space="preserve">، </t>
    </r>
    <r>
      <rPr>
        <sz val="9"/>
        <color rgb="FF1F2937"/>
        <rFont val="Calibri"/>
        <family val="2"/>
      </rPr>
      <t>GAP-B-20</t>
    </r>
  </si>
  <si>
    <r>
      <rPr>
        <sz val="9"/>
        <color rgb="FF1F2937"/>
        <rFont val="Calibri"/>
        <family val="2"/>
      </rPr>
      <t>AR18</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BR07</t>
    </r>
  </si>
  <si>
    <t>منافسة تفعيل الابتكار الرقمي في بناء منتجات ابتكارية جديدة</t>
  </si>
  <si>
    <t>تطوير أدوات تقييم غير تقليدية.
تعزيز تجربة المستخدم عبر حلول مبتكرة.
دعم بناء نماذج متقدمة في التقويم.
تحفيز بيئة العمل على الابتكار والتحول.</t>
  </si>
  <si>
    <t>توفير أدوات ذكاء الأعمال والتحليلات المتقدمة لدعم اتخاذ القرار المبني على البيانات</t>
  </si>
  <si>
    <t>1. دعم اتخاذ القرارات
4. دعم تحسين تجربة المستفيد
6. المواءمة الاستراتيجية</t>
  </si>
  <si>
    <r>
      <rPr>
        <sz val="9"/>
        <color rgb="FF1F2937"/>
        <rFont val="FreeSans"/>
        <family val="2"/>
      </rPr>
      <t xml:space="preserve">رفع كفاءة اتخاذ القرار المبني على البيانات
◂ </t>
    </r>
    <r>
      <rPr>
        <sz val="9"/>
        <color rgb="FF1F2937"/>
        <rFont val="Calibri"/>
        <family val="2"/>
      </rPr>
      <t>1. مبادرة الذكاء الاصطناعي والتحليلات المتقدمة</t>
    </r>
  </si>
  <si>
    <r>
      <rPr>
        <sz val="9"/>
        <color rgb="FF1F2937"/>
        <rFont val="Calibri"/>
        <family val="2"/>
      </rPr>
      <t>GAP-A-10</t>
    </r>
    <r>
      <rPr>
        <sz val="9"/>
        <color rgb="FF1F2937"/>
        <rFont val="FreeSans"/>
        <family val="2"/>
      </rPr>
      <t xml:space="preserve">، </t>
    </r>
    <r>
      <rPr>
        <sz val="9"/>
        <color rgb="FF1F2937"/>
        <rFont val="Calibri"/>
        <family val="2"/>
      </rPr>
      <t>GAP-B-07</t>
    </r>
    <r>
      <rPr>
        <sz val="9"/>
        <color rgb="FF1F2937"/>
        <rFont val="FreeSans"/>
        <family val="2"/>
      </rPr>
      <t xml:space="preserve">، </t>
    </r>
    <r>
      <rPr>
        <sz val="9"/>
        <color rgb="FF1F2937"/>
        <rFont val="Calibri"/>
        <family val="2"/>
      </rPr>
      <t>GAP-B-11</t>
    </r>
    <r>
      <rPr>
        <sz val="9"/>
        <color rgb="FF1F2937"/>
        <rFont val="FreeSans"/>
        <family val="2"/>
      </rPr>
      <t xml:space="preserve">، </t>
    </r>
    <r>
      <rPr>
        <sz val="9"/>
        <color rgb="FF1F2937"/>
        <rFont val="Calibri"/>
        <family val="2"/>
      </rPr>
      <t>GAP-B-12</t>
    </r>
    <r>
      <rPr>
        <sz val="9"/>
        <color rgb="FF1F2937"/>
        <rFont val="FreeSans"/>
        <family val="2"/>
      </rPr>
      <t xml:space="preserve">، </t>
    </r>
    <r>
      <rPr>
        <sz val="9"/>
        <color rgb="FF1F2937"/>
        <rFont val="Calibri"/>
        <family val="2"/>
      </rPr>
      <t>GAP-B-18</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</si>
  <si>
    <r>
      <rPr>
        <sz val="9"/>
        <color rgb="FF1F2937"/>
        <rFont val="Calibri"/>
        <family val="2"/>
      </rPr>
      <t>AR02</t>
    </r>
    <r>
      <rPr>
        <sz val="9"/>
        <color rgb="FF1F2937"/>
        <rFont val="FreeSans"/>
        <family val="2"/>
      </rPr>
      <t xml:space="preserve">، </t>
    </r>
    <r>
      <rPr>
        <sz val="9"/>
        <color rgb="FF1F2937"/>
        <rFont val="Calibri"/>
        <family val="2"/>
      </rPr>
      <t>AR08</t>
    </r>
  </si>
  <si>
    <t>توفير أدوات للتحليلات المتقدمة ذاتية الخدمة ولعرض وتصوير البيانات ولوحات المعلومات</t>
  </si>
  <si>
    <t>تمكين تحليل فوري وشامل للبيانات.
دعم اتخاذ القرار الاستراتيجي.
توفير لوحات تحكم مرئية تفاعلية.
تحسين مؤشرات الأداء المؤسسي.</t>
  </si>
  <si>
    <t>الإدارة العامة للبيانات والذكاء الاصطناعي</t>
  </si>
  <si>
    <t>توريد وتركيب أدوات إدارة البيانات الوصفية والبيانات الرئيسية والمرجعية</t>
  </si>
  <si>
    <t>1. دعم اتخاذ القرارات
5. تعزيز الحوكمة المؤسسية
6. المواءمة الاستراتيجية</t>
  </si>
  <si>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GAP-A-10</t>
    </r>
    <r>
      <rPr>
        <sz val="9"/>
        <color rgb="FF1F2937"/>
        <rFont val="FreeSans"/>
        <family val="2"/>
      </rPr>
      <t xml:space="preserve">، </t>
    </r>
    <r>
      <rPr>
        <sz val="9"/>
        <color rgb="FF1F2937"/>
        <rFont val="Calibri"/>
        <family val="2"/>
      </rPr>
      <t>GAP-B-02</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GAP-D-01</t>
    </r>
    <r>
      <rPr>
        <sz val="9"/>
        <color rgb="FF1F2937"/>
        <rFont val="FreeSans"/>
        <family val="2"/>
      </rPr>
      <t xml:space="preserve">، </t>
    </r>
    <r>
      <rPr>
        <sz val="9"/>
        <color rgb="FF1F2937"/>
        <rFont val="Calibri"/>
        <family val="2"/>
      </rPr>
      <t>GAP-D-02</t>
    </r>
    <r>
      <rPr>
        <sz val="9"/>
        <color rgb="FF1F2937"/>
        <rFont val="FreeSans"/>
        <family val="2"/>
      </rPr>
      <t xml:space="preserve">، </t>
    </r>
    <r>
      <rPr>
        <sz val="9"/>
        <color rgb="FF1F2937"/>
        <rFont val="Calibri"/>
        <family val="2"/>
      </rPr>
      <t>GAP-D-04</t>
    </r>
    <r>
      <rPr>
        <sz val="9"/>
        <color rgb="FF1F2937"/>
        <rFont val="FreeSans"/>
        <family val="2"/>
      </rPr>
      <t xml:space="preserve">، </t>
    </r>
    <r>
      <rPr>
        <sz val="9"/>
        <color rgb="FF1F2937"/>
        <rFont val="Calibri"/>
        <family val="2"/>
      </rPr>
      <t>GAP-D-05</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GAP-D-10</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GAP-D-18</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r>
      <rPr>
        <sz val="9"/>
        <color rgb="FF1F2937"/>
        <rFont val="FreeSans"/>
        <family val="2"/>
      </rPr>
      <t xml:space="preserve">، </t>
    </r>
    <r>
      <rPr>
        <sz val="9"/>
        <color rgb="FF1F2937"/>
        <rFont val="Calibri"/>
        <family val="2"/>
      </rPr>
      <t>GAP-D-24</t>
    </r>
    <r>
      <rPr>
        <sz val="9"/>
        <color rgb="FF1F2937"/>
        <rFont val="FreeSans"/>
        <family val="2"/>
      </rPr>
      <t xml:space="preserve">، </t>
    </r>
    <r>
      <rPr>
        <sz val="9"/>
        <color rgb="FF1F2937"/>
        <rFont val="Calibri"/>
        <family val="2"/>
      </rPr>
      <t>GAP-D-25</t>
    </r>
    <r>
      <rPr>
        <sz val="9"/>
        <color rgb="FF1F2937"/>
        <rFont val="FreeSans"/>
        <family val="2"/>
      </rPr>
      <t xml:space="preserve">، </t>
    </r>
    <r>
      <rPr>
        <sz val="9"/>
        <color rgb="FF1F2937"/>
        <rFont val="Calibri"/>
        <family val="2"/>
      </rPr>
      <t>GAP-D-30</t>
    </r>
    <r>
      <rPr>
        <sz val="9"/>
        <color rgb="FF1F2937"/>
        <rFont val="FreeSans"/>
        <family val="2"/>
      </rPr>
      <t xml:space="preserve">، </t>
    </r>
    <r>
      <rPr>
        <sz val="9"/>
        <color rgb="FF1F2937"/>
        <rFont val="Calibri"/>
        <family val="2"/>
      </rPr>
      <t>GAP-D-31</t>
    </r>
  </si>
  <si>
    <r>
      <rPr>
        <sz val="9"/>
        <color rgb="FF1F2937"/>
        <rFont val="Calibri"/>
        <family val="2"/>
      </rPr>
      <t>AR02</t>
    </r>
    <r>
      <rPr>
        <sz val="9"/>
        <color rgb="FF1F2937"/>
        <rFont val="FreeSans"/>
        <family val="2"/>
      </rPr>
      <t xml:space="preserve">، </t>
    </r>
    <r>
      <rPr>
        <sz val="9"/>
        <color rgb="FF1F2937"/>
        <rFont val="Calibri"/>
        <family val="2"/>
      </rPr>
      <t>AR05</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DR01</t>
    </r>
    <r>
      <rPr>
        <sz val="9"/>
        <color rgb="FF1F2937"/>
        <rFont val="FreeSans"/>
        <family val="2"/>
      </rPr>
      <t xml:space="preserve">، </t>
    </r>
    <r>
      <rPr>
        <sz val="9"/>
        <color rgb="FF1F2937"/>
        <rFont val="Calibri"/>
        <family val="2"/>
      </rPr>
      <t>DR02</t>
    </r>
  </si>
  <si>
    <t>توريد وتركيب أدوات إدارة البيانات الوصفية والبيانات الرئيسية والمرجعية حسب متطلبات مكتب البيانات الوطنية</t>
  </si>
  <si>
    <t>تحسين جودة وتكامل البيانات.
تسهيل إدارة دورة حياة البيانات.
دعم الحوكمة والامتثال التنظيمي.
تمكين التحليلات الذكية والربط بين الأنظمة.</t>
  </si>
  <si>
    <t>• توريد وتركيب أنظمة إدارة وحوكمة البيانات</t>
  </si>
  <si>
    <t>رفع مستوى نضج تطبيق ممارسات إدارة البيانات</t>
  </si>
  <si>
    <t>1. دعم اتخاذ القرارات
3. تمكين التحول الرقمي
5. تعزيز الحوكمة المؤسسية</t>
  </si>
  <si>
    <t>1. الامتثال للسياسات ذات العلاقة بمجال البيانات والتحول الرقمي الناشئ من أنظمة الهيئة وخدماتها، ومع تعزيز الاستفادة من البيانات والأنظمة لدعم أعمال الهيئة
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
5. تحقيق التميز في تقديم الخدمات الرقمية من خلال التوسع في رقمنة الخدمات، وتحسين تجربة المستفيدين بما يضمن الامتثال لمعايير الحكومة الرقمية</t>
  </si>
  <si>
    <r>
      <rPr>
        <sz val="9"/>
        <color rgb="FF1F2937"/>
        <rFont val="Calibri"/>
        <family val="2"/>
      </rPr>
      <t xml:space="preserve">◂ 1. </t>
    </r>
    <r>
      <rPr>
        <sz val="9"/>
        <color rgb="FF1F2937"/>
        <rFont val="FreeSans"/>
        <family val="2"/>
      </rPr>
      <t>مبادرة الذكاء الاصطناعي والتحليلات المتقدمة</t>
    </r>
  </si>
  <si>
    <r>
      <rPr>
        <sz val="9"/>
        <color rgb="FF1F2937"/>
        <rFont val="Calibri"/>
        <family val="2"/>
      </rPr>
      <t>GAP-B-01</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GAP-D-01</t>
    </r>
    <r>
      <rPr>
        <sz val="9"/>
        <color rgb="FF1F2937"/>
        <rFont val="FreeSans"/>
        <family val="2"/>
      </rPr>
      <t xml:space="preserve">، </t>
    </r>
    <r>
      <rPr>
        <sz val="9"/>
        <color rgb="FF1F2937"/>
        <rFont val="Calibri"/>
        <family val="2"/>
      </rPr>
      <t>GAP-D-02</t>
    </r>
    <r>
      <rPr>
        <sz val="9"/>
        <color rgb="FF1F2937"/>
        <rFont val="FreeSans"/>
        <family val="2"/>
      </rPr>
      <t xml:space="preserve">، </t>
    </r>
    <r>
      <rPr>
        <sz val="9"/>
        <color rgb="FF1F2937"/>
        <rFont val="Calibri"/>
        <family val="2"/>
      </rPr>
      <t>GAP-D-13</t>
    </r>
    <r>
      <rPr>
        <sz val="9"/>
        <color rgb="FF1F2937"/>
        <rFont val="FreeSans"/>
        <family val="2"/>
      </rPr>
      <t xml:space="preserve">، </t>
    </r>
    <r>
      <rPr>
        <sz val="9"/>
        <color rgb="FF1F2937"/>
        <rFont val="Calibri"/>
        <family val="2"/>
      </rPr>
      <t>GAP-D-24</t>
    </r>
    <r>
      <rPr>
        <sz val="9"/>
        <color rgb="FF1F2937"/>
        <rFont val="FreeSans"/>
        <family val="2"/>
      </rPr>
      <t xml:space="preserve">، </t>
    </r>
    <r>
      <rPr>
        <sz val="9"/>
        <color rgb="FF1F2937"/>
        <rFont val="Calibri"/>
        <family val="2"/>
      </rPr>
      <t>GAP-D-25</t>
    </r>
    <r>
      <rPr>
        <sz val="9"/>
        <color rgb="FF1F2937"/>
        <rFont val="FreeSans"/>
        <family val="2"/>
      </rPr>
      <t xml:space="preserve">، </t>
    </r>
    <r>
      <rPr>
        <sz val="9"/>
        <color rgb="FF1F2937"/>
        <rFont val="Calibri"/>
        <family val="2"/>
      </rPr>
      <t>GAP-D-30</t>
    </r>
    <r>
      <rPr>
        <sz val="9"/>
        <color rgb="FF1F2937"/>
        <rFont val="FreeSans"/>
        <family val="2"/>
      </rPr>
      <t xml:space="preserve">، </t>
    </r>
    <r>
      <rPr>
        <sz val="9"/>
        <color rgb="FF1F2937"/>
        <rFont val="Calibri"/>
        <family val="2"/>
      </rPr>
      <t>GAP-D-31</t>
    </r>
  </si>
  <si>
    <r>
      <rPr>
        <sz val="9"/>
        <color rgb="FF1F2937"/>
        <rFont val="Calibri"/>
        <family val="2"/>
      </rPr>
      <t>AR05</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BR11</t>
    </r>
  </si>
  <si>
    <t>تقديم خدمات استشارية لرقع مستوى النضج والامتثال لضوابط ومواصفات إدارة البيانات الوطنية</t>
  </si>
  <si>
    <t>دعم اتخاذ القرار المبني على البيانات • تعزيز القدرات التحليلية للهيئة • تحسين تجربة المستفيد • تسهيل الوصول إلى الخدمات الرقمية</t>
  </si>
  <si>
    <t>• توريد وتركيب أدوات إدارة البيانات الوصفية والبيانات الرئيسية والمرجعية
• مشروع تنفيذ بند تشغيل وصيانة البنية التقنية لمنافسة مشروع تشغيل وصيانة البنية التقنية والبيانات وتطبيق الذكاء
• مشروع تنفيذ بند تشغيل وصيانة البنية التقنية لمنافسة مشروع تشغيل وصيانة البنية التقنية والبيانات وتطبيق الذكاء(تجديد العقد)</t>
  </si>
  <si>
    <t>المساعد الرقمي للعناية بالمستفيدين</t>
  </si>
  <si>
    <t>2. تمكين التكامل التقني مع الجهات الحكومية ذات العلاقة عبر قنوات البيانات الوطنية، لتبادل البيانات وتقديم خدمات موحدة ومترابطة للمستفيدين
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
5. تحقيق التميز في تقديم الخدمات الرقمية من خلال التوسع في رقمنة الخدمات، وتحسين تجربة المستفيدين بما يضمن الامتثال لمعايير الحكومة الرقمية</t>
  </si>
  <si>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r>
      <rPr>
        <sz val="9"/>
        <color rgb="FF1F2937"/>
        <rFont val="FreeSans"/>
        <family val="2"/>
      </rPr>
      <t xml:space="preserve">، </t>
    </r>
    <r>
      <rPr>
        <sz val="9"/>
        <color rgb="FF1F2937"/>
        <rFont val="Calibri"/>
        <family val="2"/>
      </rPr>
      <t>GAP-T-20</t>
    </r>
  </si>
  <si>
    <r>
      <rPr>
        <sz val="9"/>
        <color rgb="FF1F2937"/>
        <rFont val="Calibri"/>
        <family val="2"/>
      </rPr>
      <t>AR08</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BR04</t>
    </r>
    <r>
      <rPr>
        <sz val="9"/>
        <color rgb="FF1F2937"/>
        <rFont val="FreeSans"/>
        <family val="2"/>
      </rPr>
      <t xml:space="preserve">، </t>
    </r>
    <r>
      <rPr>
        <sz val="9"/>
        <color rgb="FF1F2937"/>
        <rFont val="Calibri"/>
        <family val="2"/>
      </rPr>
      <t>BR16</t>
    </r>
  </si>
  <si>
    <r>
      <rPr>
        <sz val="9"/>
        <color rgb="FF1F2937"/>
        <rFont val="FreeSans"/>
        <family val="2"/>
      </rPr>
      <t>نظام المساعد الرقمي بإستخدام الذكاء الاصطناعي التوليدي للعناية بالمستفيدين وذلك بالإجابة عن استفسارات الفئات المستفيدة حول الخدمات المقدمة</t>
    </r>
    <r>
      <rPr>
        <sz val="9"/>
        <color rgb="FF1F2937"/>
        <rFont val="Calibri"/>
        <family val="2"/>
      </rPr>
      <t xml:space="preserve">. </t>
    </r>
    <r>
      <rPr>
        <sz val="9"/>
        <color rgb="FF1F2937"/>
        <rFont val="FreeSans"/>
        <family val="2"/>
      </rPr>
      <t>مع تكامله مع أنظمة الهيئة ونشره على جميع قنوات التواصل بالهيئة</t>
    </r>
  </si>
  <si>
    <t>تحسين تجربة المستفيد • تسهيل الوصول إلى الخدمات الرقمية</t>
  </si>
  <si>
    <t>مشروع تنفيذ بند تشغيل وصيانة البنية التقنية لمنافسة مشروع تشغيل وصيانة البنية التقنية والبيانات وتطبيق الذكاء</t>
  </si>
  <si>
    <t>2. تمكين التكامل التقني مع الجهات الحكومية ذات العلاقة عبر قنوات البيانات الوطنية، لتبادل البيانات وتقديم خدمات موحدة ومترابطة للمستفيدين
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
4. بناء قدرات رقمية وطنية وتمكين الكفاءات المتخصصة والعامة في مجال البيانات والتحول الرقمي، من خلال مسارات تدريبية مستهدفة متوافقة مع معايير بناء الكفاءات</t>
  </si>
  <si>
    <r>
      <rPr>
        <sz val="9"/>
        <color rgb="FF1F2937"/>
        <rFont val="FreeSans"/>
        <family val="2"/>
      </rPr>
      <t xml:space="preserve">تنفيذ خطة البيانات والذكاء الاصطناعي وتطبيقها
◂ </t>
    </r>
    <r>
      <rPr>
        <sz val="9"/>
        <color rgb="FF1F2937"/>
        <rFont val="Calibri"/>
        <family val="2"/>
      </rPr>
      <t>2. مبادرة الجاهزية التشغيلية واستمرارية الأعمال</t>
    </r>
  </si>
  <si>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GAP-A-10</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</si>
  <si>
    <r>
      <rPr>
        <sz val="9"/>
        <color rgb="FF1F2937"/>
        <rFont val="Calibri"/>
        <family val="2"/>
      </rPr>
      <t>AR02</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BR06</t>
    </r>
  </si>
  <si>
    <t>تشغيل وصيانة البنية التقنية ونظم البيانات والتكامل وذكاء الاعمال وتطبيق ألف ياء للذكاء في هيئة تقويم التعليم والتدريب</t>
  </si>
  <si>
    <t>تشغيل وصيانة نظم البيانات
والتكامل وذكاء الأعمال</t>
  </si>
  <si>
    <r>
      <rPr>
        <sz val="9"/>
        <color rgb="FF1F2937"/>
        <rFont val="FreeSans"/>
        <family val="2"/>
      </rPr>
      <t>• مشروع تنفيذ بند تشغيل وصيانة البنية التقنية لمنافسة مشروع تشغيل وصيانة البنية التقنية والبيانات وتطبيق الذكاء</t>
    </r>
    <r>
      <rPr>
        <sz val="9"/>
        <color rgb="FF1F2937"/>
        <rFont val="Calibri"/>
        <family val="2"/>
      </rPr>
      <t>(</t>
    </r>
    <r>
      <rPr>
        <sz val="9"/>
        <color rgb="FF1F2937"/>
        <rFont val="FreeSans"/>
        <family val="2"/>
      </rPr>
      <t>تجديد العقد</t>
    </r>
    <r>
      <rPr>
        <sz val="9"/>
        <color rgb="FF1F2937"/>
        <rFont val="Calibri"/>
        <family val="2"/>
      </rPr>
      <t>)</t>
    </r>
  </si>
  <si>
    <t>شركة بحر العرب لأنظمة المعلومات</t>
  </si>
  <si>
    <t>البيانات والتقنية</t>
  </si>
  <si>
    <t>24/2/2024</t>
  </si>
  <si>
    <t>26/2/2028</t>
  </si>
  <si>
    <r>
      <rPr>
        <sz val="9"/>
        <color rgb="FF1F2937"/>
        <rFont val="FreeSans"/>
        <family val="2"/>
      </rPr>
      <t>مشروع تنفيذ بند تشغيل وصيانة البنية التقنية لمنافسة مشروع تشغيل وصيانة البنية التقنية والبيانات وتطبيق الذكاء</t>
    </r>
    <r>
      <rPr>
        <sz val="9"/>
        <color rgb="FF1F2937"/>
        <rFont val="Calibri"/>
        <family val="2"/>
      </rPr>
      <t>(</t>
    </r>
    <r>
      <rPr>
        <sz val="9"/>
        <color rgb="FF1F2937"/>
        <rFont val="FreeSans"/>
        <family val="2"/>
      </rPr>
      <t>تجديد العقد</t>
    </r>
    <r>
      <rPr>
        <sz val="9"/>
        <color rgb="FF1F2937"/>
        <rFont val="Calibri"/>
        <family val="2"/>
      </rPr>
      <t>)</t>
    </r>
  </si>
  <si>
    <t>2. تمكين التكامل التقني مع الجهات الحكومية ذات العلاقة عبر قنوات البيانات الوطنية، لتبادل البيانات وتقديم خدمات موحدة ومترابطة للمستفيدين
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
6. تنظيم الاستفادة من البنية التحتية التقنية بما يضمن استمرارية الأعمال وحوكمة الكفاءة التشغيلية</t>
  </si>
  <si>
    <t>• مشروع تنفيذ بند تشغيل وصيانة البنية التقنية لمنافسة مشروع تشغيل وصيانة البنية التقنية والبيانات وتطبيق الذكاء</t>
  </si>
  <si>
    <t>27/2/2028</t>
  </si>
  <si>
    <r>
      <rPr>
        <sz val="9"/>
        <color rgb="FF1F2937"/>
        <rFont val="FreeSans"/>
        <family val="2"/>
      </rPr>
      <t>تعزيز الجاهزية المؤسسية  لاستمرارية الأعمال</t>
    </r>
    <r>
      <rPr>
        <sz val="9"/>
        <color rgb="FF1F2937"/>
        <rFont val="Calibri"/>
        <family val="2"/>
      </rPr>
      <t xml:space="preserve">- </t>
    </r>
    <r>
      <rPr>
        <sz val="9"/>
        <color rgb="FF1F2937"/>
        <rFont val="FreeSans"/>
        <family val="2"/>
      </rPr>
      <t>المرحلة الأولى</t>
    </r>
  </si>
  <si>
    <r>
      <rPr>
        <sz val="9"/>
        <color rgb="FF1F2937"/>
        <rFont val="Calibri"/>
        <family val="2"/>
      </rPr>
      <t>GAP-A-04</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GAP-B-23</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r>
      <rPr>
        <sz val="9"/>
        <color rgb="FF1F2937"/>
        <rFont val="FreeSans"/>
        <family val="2"/>
      </rPr>
      <t xml:space="preserve">، </t>
    </r>
    <r>
      <rPr>
        <sz val="9"/>
        <color rgb="FF1F2937"/>
        <rFont val="Calibri"/>
        <family val="2"/>
      </rPr>
      <t>GAP-T-8</t>
    </r>
    <r>
      <rPr>
        <sz val="9"/>
        <color rgb="FF1F2937"/>
        <rFont val="FreeSans"/>
        <family val="2"/>
      </rPr>
      <t xml:space="preserve">، </t>
    </r>
    <r>
      <rPr>
        <sz val="9"/>
        <color rgb="FF1F2937"/>
        <rFont val="Calibri"/>
        <family val="2"/>
      </rPr>
      <t>GAP-T-15</t>
    </r>
  </si>
  <si>
    <r>
      <rPr>
        <sz val="9"/>
        <color rgb="FF1F2937"/>
        <rFont val="Calibri"/>
        <family val="2"/>
      </rPr>
      <t>BR04</t>
    </r>
    <r>
      <rPr>
        <sz val="9"/>
        <color rgb="FF1F2937"/>
        <rFont val="FreeSans"/>
        <family val="2"/>
      </rPr>
      <t xml:space="preserve">، </t>
    </r>
    <r>
      <rPr>
        <sz val="9"/>
        <color rgb="FF1F2937"/>
        <rFont val="Calibri"/>
        <family val="2"/>
      </rPr>
      <t>TR03</t>
    </r>
  </si>
  <si>
    <t>بناء وتنفيذ خطة استمررية الاعمال و التحول السحابي لانظمة اختبارات جاهزية ومستقبلهم ونظام نمر</t>
  </si>
  <si>
    <t>تقليل تأثير الأزمات والطوارئ على الأنشطة التشغيلية.
تحسين مرونة الأعمال واستعدادها.
تعزيز ثقة أصحاب العلاقة في كفاءة الهيئة.
ضمان استدامة تقديم الخدمات الحيوية.</t>
  </si>
  <si>
    <r>
      <rPr>
        <sz val="9"/>
        <color rgb="FF1F2937"/>
        <rFont val="FreeSans"/>
        <family val="2"/>
      </rPr>
      <t xml:space="preserve">تحسين أداء شبكة </t>
    </r>
    <r>
      <rPr>
        <sz val="9"/>
        <color rgb="FF1F2937"/>
        <rFont val="Calibri"/>
        <family val="2"/>
      </rPr>
      <t xml:space="preserve">WAN </t>
    </r>
    <r>
      <rPr>
        <sz val="9"/>
        <color rgb="FF1F2937"/>
        <rFont val="FreeSans"/>
        <family val="2"/>
      </rPr>
      <t xml:space="preserve">باستخدام حلول تسريع الاتصالات </t>
    </r>
    <r>
      <rPr>
        <sz val="9"/>
        <color rgb="FF1F2937"/>
        <rFont val="Calibri"/>
        <family val="2"/>
      </rPr>
      <t>(Riverbed)</t>
    </r>
  </si>
  <si>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GAP-T-7</t>
    </r>
    <r>
      <rPr>
        <sz val="9"/>
        <color rgb="FF1F2937"/>
        <rFont val="FreeSans"/>
        <family val="2"/>
      </rPr>
      <t xml:space="preserve">، </t>
    </r>
    <r>
      <rPr>
        <sz val="9"/>
        <color rgb="FF1F2937"/>
        <rFont val="Calibri"/>
        <family val="2"/>
      </rPr>
      <t>GAP-T-17</t>
    </r>
  </si>
  <si>
    <r>
      <rPr>
        <sz val="9"/>
        <color rgb="FF1F2937"/>
        <rFont val="Calibri"/>
        <family val="2"/>
      </rPr>
      <t>BR10</t>
    </r>
    <r>
      <rPr>
        <sz val="9"/>
        <color rgb="FF1F2937"/>
        <rFont val="FreeSans"/>
        <family val="2"/>
      </rPr>
      <t xml:space="preserve">، </t>
    </r>
    <r>
      <rPr>
        <sz val="9"/>
        <color rgb="FF1F2937"/>
        <rFont val="Calibri"/>
        <family val="2"/>
      </rPr>
      <t>DR02</t>
    </r>
    <r>
      <rPr>
        <sz val="9"/>
        <color rgb="FF1F2937"/>
        <rFont val="FreeSans"/>
        <family val="2"/>
      </rPr>
      <t xml:space="preserve">، </t>
    </r>
    <r>
      <rPr>
        <sz val="9"/>
        <color rgb="FF1F2937"/>
        <rFont val="Calibri"/>
        <family val="2"/>
      </rPr>
      <t>TR04</t>
    </r>
  </si>
  <si>
    <r>
      <rPr>
        <sz val="9"/>
        <color rgb="FF1F2937"/>
        <rFont val="FreeSans"/>
        <family val="2"/>
      </rPr>
      <t>تسريع التطبيقات، تحسين أداء السحابة و مرجعية البيانات القابلة للتطوير، تحسين حركة المرور المشفرة، وتحسين تكرار البيانات والتخزين</t>
    </r>
    <r>
      <rPr>
        <sz val="9"/>
        <color rgb="FF1F2937"/>
        <rFont val="Calibri"/>
        <family val="2"/>
      </rPr>
      <t>.</t>
    </r>
  </si>
  <si>
    <t>تسريع نقل البيانات بين المواقع.
تقليل زمن تحميل الأنظمة والتطبيقات.
تحسين تجربة المستخدم النهائي.
تعزيز كفاءة الشبكة في المواقع البعيدة.</t>
  </si>
  <si>
    <t>تقديم خدمات الطباعة كخدمات مدارة</t>
  </si>
  <si>
    <r>
      <rPr>
        <sz val="9"/>
        <color rgb="FF1F2937"/>
        <rFont val="Calibri"/>
        <family val="2"/>
      </rPr>
      <t xml:space="preserve">6. </t>
    </r>
    <r>
      <rPr>
        <sz val="9"/>
        <color rgb="FF1F2937"/>
        <rFont val="FreeSans"/>
        <family val="2"/>
      </rPr>
      <t>تنظيم الاستفادة من البنية التحتية التقنية بما يضمن استمرارية الأعمال وحوكمة الكفاءة التشغيلية</t>
    </r>
  </si>
  <si>
    <r>
      <rPr>
        <sz val="9"/>
        <color rgb="FF1F2937"/>
        <rFont val="Calibri"/>
        <family val="2"/>
      </rPr>
      <t>GAP-B-08</t>
    </r>
    <r>
      <rPr>
        <sz val="9"/>
        <color rgb="FF1F2937"/>
        <rFont val="FreeSans"/>
        <family val="2"/>
      </rPr>
      <t xml:space="preserve">، </t>
    </r>
    <r>
      <rPr>
        <sz val="9"/>
        <color rgb="FF1F2937"/>
        <rFont val="Calibri"/>
        <family val="2"/>
      </rPr>
      <t>GAP-T-11</t>
    </r>
  </si>
  <si>
    <t>مشروع توفير طابعات واحبارها كخدمات مدارة</t>
  </si>
  <si>
    <t>تقليل تكاليف الصيانة والمواد الاستهلاكية.
تحسين أمان الوثائق والطباعة.
تتبع الاستهلاك بشكل أكثر فعالية.
دعم الاستدامة وتقليل الهدر الورقي.</t>
  </si>
  <si>
    <t>• تقديم الخدمات الاستشارية لقطاع البيانات والتحول الرقمي
•  تقديم خدمات لأنظمة تطبيق الاختبارات المحوسبة
• توفير خدمة الاشتراك في موقع إلكتروني لتقديم خدمات الدعم والأبحاث التقنية</t>
  </si>
  <si>
    <t>شراء اجهزة جديدة</t>
  </si>
  <si>
    <r>
      <rPr>
        <sz val="9"/>
        <color rgb="FF1F2937"/>
        <rFont val="FreeSans"/>
        <family val="2"/>
      </rPr>
      <t xml:space="preserve">رفع جاهزية واستدامة البنية التحتية التقنية
◂ </t>
    </r>
    <r>
      <rPr>
        <sz val="9"/>
        <color rgb="FF1F2937"/>
        <rFont val="Calibri"/>
        <family val="2"/>
      </rPr>
      <t>2. مبادرة الجاهزية التشغيلية واستمرارية الأعمال</t>
    </r>
  </si>
  <si>
    <r>
      <rPr>
        <sz val="9"/>
        <color rgb="FF1F2937"/>
        <rFont val="Calibri"/>
        <family val="2"/>
      </rPr>
      <t>GAP-B-01</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GAP-T-11</t>
    </r>
  </si>
  <si>
    <r>
      <rPr>
        <sz val="9"/>
        <color rgb="FF1F2937"/>
        <rFont val="Calibri"/>
        <family val="2"/>
      </rPr>
      <t>AR07</t>
    </r>
    <r>
      <rPr>
        <sz val="9"/>
        <color rgb="FF1F2937"/>
        <rFont val="FreeSans"/>
        <family val="2"/>
      </rPr>
      <t xml:space="preserve">، </t>
    </r>
    <r>
      <rPr>
        <sz val="9"/>
        <color rgb="FF1F2937"/>
        <rFont val="Calibri"/>
        <family val="2"/>
      </rPr>
      <t>AR16</t>
    </r>
    <r>
      <rPr>
        <sz val="9"/>
        <color rgb="FF1F2937"/>
        <rFont val="FreeSans"/>
        <family val="2"/>
      </rPr>
      <t xml:space="preserve">، </t>
    </r>
    <r>
      <rPr>
        <sz val="9"/>
        <color rgb="FF1F2937"/>
        <rFont val="Calibri"/>
        <family val="2"/>
      </rPr>
      <t>TR03</t>
    </r>
  </si>
  <si>
    <t>شراء اجهزة جديدة للموظفين الجدد</t>
  </si>
  <si>
    <t>تحديث البنية التحتية وتعزيز الأداء العام.
دعم التشغيل المستقر للتطبيقات والخدمات.
تمكين التوسع في الخدمات الرقمية.
تقليل الأعطال الناتجة عن الأجهزة القديمة.</t>
  </si>
  <si>
    <t>التجهيز والتشغيل التقني لمقرات الاختبارات المحوسبة</t>
  </si>
  <si>
    <r>
      <rPr>
        <sz val="9"/>
        <color rgb="FF1F2937"/>
        <rFont val="Calibri"/>
        <family val="2"/>
      </rPr>
      <t>GAP-B-01</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GAP-B-29</t>
    </r>
  </si>
  <si>
    <r>
      <rPr>
        <sz val="9"/>
        <color rgb="FF1F2937"/>
        <rFont val="Calibri"/>
        <family val="2"/>
      </rPr>
      <t>AR17</t>
    </r>
    <r>
      <rPr>
        <sz val="9"/>
        <color rgb="FF1F2937"/>
        <rFont val="FreeSans"/>
        <family val="2"/>
      </rPr>
      <t xml:space="preserve">، </t>
    </r>
    <r>
      <rPr>
        <sz val="9"/>
        <color rgb="FF1F2937"/>
        <rFont val="Calibri"/>
        <family val="2"/>
      </rPr>
      <t>DR01</t>
    </r>
  </si>
  <si>
    <t>التجهيز التقني للمقرات المحوسبة</t>
  </si>
  <si>
    <t>تمكين تنفيذ اختبارات رقمية بجودة عالية.
تعزيز الجاهزية التقنية في مواقع متعددة.
تقليل الأعطال وتحسين بيئة الاختبار.
دعم التوسع الجغرافي في خدمات الاختبارات.</t>
  </si>
  <si>
    <t>• الربط الشبكي لمقرات الاختبارات المحوسبة 
• التجهيز والتشغيل التقني لمقرات الاختبارات المحوسبة بجميع مناطق المملكة
• الربط الشبكي لمقرات الاختبارات المحوسبة (تجديد العقد)</t>
  </si>
  <si>
    <t>التجهيز والتشغيل التقني لمقرات الاختبارات المحوسبة بجميع مناطق المملكة</t>
  </si>
  <si>
    <r>
      <rPr>
        <sz val="9"/>
        <color rgb="FF1F2937"/>
        <rFont val="FreeSans"/>
        <family val="2"/>
      </rPr>
      <t xml:space="preserve">ترشيد الإنفاق التقني وإدارة الرخص بفعالية
◂ </t>
    </r>
    <r>
      <rPr>
        <sz val="9"/>
        <color rgb="FF1F2937"/>
        <rFont val="Calibri"/>
        <family val="2"/>
      </rPr>
      <t>3. مبادرة تعزيز كفاءة واستدامة البنية التحتية التقنية</t>
    </r>
  </si>
  <si>
    <r>
      <rPr>
        <sz val="9"/>
        <color rgb="FF1F2937"/>
        <rFont val="Calibri"/>
        <family val="2"/>
      </rPr>
      <t>GAP-B-01</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GAP-B-29</t>
    </r>
  </si>
  <si>
    <r>
      <rPr>
        <sz val="9"/>
        <color rgb="FF1F2937"/>
        <rFont val="Calibri"/>
        <family val="2"/>
      </rPr>
      <t>AR17</t>
    </r>
    <r>
      <rPr>
        <sz val="9"/>
        <color rgb="FF1F2937"/>
        <rFont val="FreeSans"/>
        <family val="2"/>
      </rPr>
      <t xml:space="preserve">، </t>
    </r>
    <r>
      <rPr>
        <sz val="9"/>
        <color rgb="FF1F2937"/>
        <rFont val="Calibri"/>
        <family val="2"/>
      </rPr>
      <t>BR06</t>
    </r>
    <r>
      <rPr>
        <sz val="9"/>
        <color rgb="FF1F2937"/>
        <rFont val="FreeSans"/>
        <family val="2"/>
      </rPr>
      <t xml:space="preserve">، </t>
    </r>
    <r>
      <rPr>
        <sz val="9"/>
        <color rgb="FF1F2937"/>
        <rFont val="Calibri"/>
        <family val="2"/>
      </rPr>
      <t>DR01</t>
    </r>
  </si>
  <si>
    <r>
      <rPr>
        <sz val="9"/>
        <color rgb="FF1F2937"/>
        <rFont val="FreeSans"/>
        <family val="2"/>
      </rPr>
      <t>توريد وتركيب وتشغيل المتطلبات التقنية لمقرات الاختبارات المحوسبة في كل من مدن المملكة وربطها بالمركز الرئيسي، مع تقديم خدمات الدعم الفني لمدة أربعة أشهر بعد تنفيذ الأعمال وتكون بأعلى جاهزية لاستقبال المختبرين</t>
    </r>
    <r>
      <rPr>
        <sz val="9"/>
        <color rgb="FF1F2937"/>
        <rFont val="Calibri"/>
        <family val="2"/>
      </rPr>
      <t>.</t>
    </r>
  </si>
  <si>
    <t>رفع جودة التعليم والتدريب وكفايتهما
رفع مساهمة التعليم والتدريب في خدمة الاقتصاد والتنمية</t>
  </si>
  <si>
    <t>• التجهيز والتشغيل التقني لمقرات الاختبارات المحوسبة</t>
  </si>
  <si>
    <t>شركة بُعد للاتصالات</t>
  </si>
  <si>
    <t>31/08/2023</t>
  </si>
  <si>
    <t>31/08/2025</t>
  </si>
  <si>
    <t>التحول السحابي لانظمة الاختبارت</t>
  </si>
  <si>
    <r>
      <rPr>
        <sz val="9"/>
        <color rgb="FF1F2937"/>
        <rFont val="Calibri"/>
        <family val="2"/>
      </rPr>
      <t>GAP-A-01</t>
    </r>
    <r>
      <rPr>
        <sz val="9"/>
        <color rgb="FF1F2937"/>
        <rFont val="FreeSans"/>
        <family val="2"/>
      </rPr>
      <t xml:space="preserve">، </t>
    </r>
    <r>
      <rPr>
        <sz val="9"/>
        <color rgb="FF1F2937"/>
        <rFont val="Calibri"/>
        <family val="2"/>
      </rPr>
      <t>GAP-A-04</t>
    </r>
    <r>
      <rPr>
        <sz val="9"/>
        <color rgb="FF1F2937"/>
        <rFont val="FreeSans"/>
        <family val="2"/>
      </rPr>
      <t xml:space="preserve">، </t>
    </r>
    <r>
      <rPr>
        <sz val="9"/>
        <color rgb="FF1F2937"/>
        <rFont val="Calibri"/>
        <family val="2"/>
      </rPr>
      <t>GAP-A-05</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r>
      <rPr>
        <sz val="9"/>
        <color rgb="FF1F2937"/>
        <rFont val="FreeSans"/>
        <family val="2"/>
      </rPr>
      <t xml:space="preserve">، </t>
    </r>
    <r>
      <rPr>
        <sz val="9"/>
        <color rgb="FF1F2937"/>
        <rFont val="Calibri"/>
        <family val="2"/>
      </rPr>
      <t>GAP-T-15</t>
    </r>
    <r>
      <rPr>
        <sz val="9"/>
        <color rgb="FF1F2937"/>
        <rFont val="FreeSans"/>
        <family val="2"/>
      </rPr>
      <t xml:space="preserve">، </t>
    </r>
    <r>
      <rPr>
        <sz val="9"/>
        <color rgb="FF1F2937"/>
        <rFont val="Calibri"/>
        <family val="2"/>
      </rPr>
      <t>GAP-T-16</t>
    </r>
  </si>
  <si>
    <r>
      <rPr>
        <sz val="9"/>
        <color rgb="FF1F2937"/>
        <rFont val="Calibri"/>
        <family val="2"/>
      </rPr>
      <t>AR18</t>
    </r>
    <r>
      <rPr>
        <sz val="9"/>
        <color rgb="FF1F2937"/>
        <rFont val="FreeSans"/>
        <family val="2"/>
      </rPr>
      <t xml:space="preserve">، </t>
    </r>
    <r>
      <rPr>
        <sz val="9"/>
        <color rgb="FF1F2937"/>
        <rFont val="Calibri"/>
        <family val="2"/>
      </rPr>
      <t>BR02</t>
    </r>
  </si>
  <si>
    <r>
      <rPr>
        <sz val="9"/>
        <color rgb="FF1F2937"/>
        <rFont val="FreeSans"/>
        <family val="2"/>
      </rPr>
      <t xml:space="preserve">يهدف المشروع إلى تطوير منصة تقنية حديثة تعتمد على البنية السحابية وتطبيقات </t>
    </r>
    <r>
      <rPr>
        <sz val="9"/>
        <color rgb="FF1F2937"/>
        <rFont val="Calibri"/>
        <family val="2"/>
      </rPr>
      <t xml:space="preserve">Microservices </t>
    </r>
    <r>
      <rPr>
        <sz val="9"/>
        <color rgb="FF1F2937"/>
        <rFont val="FreeSans"/>
        <family val="2"/>
      </rPr>
      <t>لتمكين تطوير وتشغيل الأنظمة بطريقة مرنة ومجزأة وقابلة للتوسع</t>
    </r>
    <r>
      <rPr>
        <sz val="9"/>
        <color rgb="FF1F2937"/>
        <rFont val="Calibri"/>
        <family val="2"/>
      </rPr>
      <t xml:space="preserve">. </t>
    </r>
    <r>
      <rPr>
        <sz val="9"/>
        <color rgb="FF1F2937"/>
        <rFont val="FreeSans"/>
        <family val="2"/>
      </rPr>
      <t xml:space="preserve">تشمل المنصة أدوات لإدارة الخدمات المصغرة، التكامل مع </t>
    </r>
    <r>
      <rPr>
        <sz val="9"/>
        <color rgb="FF1F2937"/>
        <rFont val="Calibri"/>
        <family val="2"/>
      </rPr>
      <t>CI/CD</t>
    </r>
    <r>
      <rPr>
        <sz val="9"/>
        <color rgb="FF1F2937"/>
        <rFont val="FreeSans"/>
        <family val="2"/>
      </rPr>
      <t xml:space="preserve">، الحاويات </t>
    </r>
    <r>
      <rPr>
        <sz val="9"/>
        <color rgb="FF1F2937"/>
        <rFont val="Calibri"/>
        <family val="2"/>
      </rPr>
      <t>(Containers)</t>
    </r>
    <r>
      <rPr>
        <sz val="9"/>
        <color rgb="FF1F2937"/>
        <rFont val="FreeSans"/>
        <family val="2"/>
      </rPr>
      <t>، والتشغيل الآلي للبنية التحتية، مما يعزز الكفاءة والمرونة والاستجابة للتغيرات المؤسسية</t>
    </r>
    <r>
      <rPr>
        <sz val="9"/>
        <color rgb="FF1F2937"/>
        <rFont val="Calibri"/>
        <family val="2"/>
      </rPr>
      <t>.</t>
    </r>
  </si>
  <si>
    <t>تحسين التوافرية والمرونة التشغيلية.
دعم التوسع السريع في تقديم الخدمات.
تقليل التكاليف الرأسمالية للبنية التحتية.
تعزيز الأمن السيبراني من خلال البيئة السحابية.</t>
  </si>
  <si>
    <t>توفير خدمة الاشتراك في موقع إلكتروني لتقديم خدمات الدعم والأبحاث التقنية</t>
  </si>
  <si>
    <r>
      <rPr>
        <sz val="9"/>
        <color rgb="FF1F2937"/>
        <rFont val="FreeSans"/>
        <family val="2"/>
      </rPr>
      <t xml:space="preserve">ترشيد الإنفاق التقني وإدارة الرخص بفعالية
◂ </t>
    </r>
    <r>
      <rPr>
        <sz val="9"/>
        <color rgb="FF1F2937"/>
        <rFont val="Calibri"/>
        <family val="2"/>
      </rPr>
      <t>6. مبادرة التمكين الرقمي</t>
    </r>
  </si>
  <si>
    <r>
      <rPr>
        <sz val="9"/>
        <color rgb="FF1F2937"/>
        <rFont val="Calibri"/>
        <family val="2"/>
      </rPr>
      <t>GAP-A-04</t>
    </r>
    <r>
      <rPr>
        <sz val="9"/>
        <color rgb="FF1F2937"/>
        <rFont val="FreeSans"/>
        <family val="2"/>
      </rPr>
      <t xml:space="preserve">، </t>
    </r>
    <r>
      <rPr>
        <sz val="9"/>
        <color rgb="FF1F2937"/>
        <rFont val="Calibri"/>
        <family val="2"/>
      </rPr>
      <t>GAP-A-06</t>
    </r>
    <r>
      <rPr>
        <sz val="9"/>
        <color rgb="FF1F2937"/>
        <rFont val="FreeSans"/>
        <family val="2"/>
      </rPr>
      <t xml:space="preserve">، </t>
    </r>
    <r>
      <rPr>
        <sz val="9"/>
        <color rgb="FF1F2937"/>
        <rFont val="Calibri"/>
        <family val="2"/>
      </rPr>
      <t>GAP-B-26</t>
    </r>
  </si>
  <si>
    <t>تسريع الوصول للمعلومة والدعم الفني المتخصص.
تحسين كفاءة فرق الدعم الداخلي.
تقليل زمن معالجة المشكلات الفنية.
دعم التطوير المهني للكوادر التقنية.</t>
  </si>
  <si>
    <t>تحقيق متطلبات شهادات الجودة لتحسين الكفاءة والامتثال</t>
  </si>
  <si>
    <t>2. تعزيز الكفاءة التشغيلية وكفاءة الإنفاق
5. تعزيز الحوكمة المؤسسية
6. المواءمة الاستراتيجية</t>
  </si>
  <si>
    <r>
      <rPr>
        <sz val="9"/>
        <color rgb="FF1F2937"/>
        <rFont val="Calibri"/>
        <family val="2"/>
      </rPr>
      <t xml:space="preserve">1. </t>
    </r>
    <r>
      <rPr>
        <sz val="9"/>
        <color rgb="FF1F2937"/>
        <rFont val="FreeSans"/>
        <family val="2"/>
      </rPr>
      <t>الامتثال للسياسات ذات العلاقة بمجال البيانات والتحول الرقمي الناشئ من أنظمة الهيئة وخدماتها، ومع تعزيز الاستفادة من البيانات والأنظمة لدعم أعمال الهيئة</t>
    </r>
  </si>
  <si>
    <r>
      <rPr>
        <sz val="9"/>
        <color rgb="FF1F2937"/>
        <rFont val="FreeSans"/>
        <family val="2"/>
      </rPr>
      <t xml:space="preserve">تطوير إطار حوكمة وسياسات تقنية موحدة
◂ </t>
    </r>
    <r>
      <rPr>
        <sz val="9"/>
        <color rgb="FF1F2937"/>
        <rFont val="Calibri"/>
        <family val="2"/>
      </rPr>
      <t>2. مبادرة الجاهزية التشغيلية واستمرارية الأعمال</t>
    </r>
  </si>
  <si>
    <r>
      <rPr>
        <sz val="9"/>
        <color rgb="FF1F2937"/>
        <rFont val="Calibri"/>
        <family val="2"/>
      </rPr>
      <t>GAP-B-06</t>
    </r>
    <r>
      <rPr>
        <sz val="9"/>
        <color rgb="FF1F2937"/>
        <rFont val="FreeSans"/>
        <family val="2"/>
      </rPr>
      <t xml:space="preserve">، </t>
    </r>
    <r>
      <rPr>
        <sz val="9"/>
        <color rgb="FF1F2937"/>
        <rFont val="Calibri"/>
        <family val="2"/>
      </rPr>
      <t>GAP-B-07</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GAP-B-19</t>
    </r>
    <r>
      <rPr>
        <sz val="9"/>
        <color rgb="FF1F2937"/>
        <rFont val="FreeSans"/>
        <family val="2"/>
      </rPr>
      <t xml:space="preserve">، </t>
    </r>
    <r>
      <rPr>
        <sz val="9"/>
        <color rgb="FF1F2937"/>
        <rFont val="Calibri"/>
        <family val="2"/>
      </rPr>
      <t>GAP-B-25</t>
    </r>
  </si>
  <si>
    <r>
      <rPr>
        <sz val="9"/>
        <color rgb="FF1F2937"/>
        <rFont val="Calibri"/>
        <family val="2"/>
      </rPr>
      <t>AR17</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DR01</t>
    </r>
  </si>
  <si>
    <t>مشروع تحقيق شهادات الجودة</t>
  </si>
  <si>
    <t>توحيد الإجراءات وتحسين الاتساق المؤسسي.
تعزيز الثقة والشفافية بين أصحاب العلاقة.
دعم التحسين المستمر للأداء المؤسسي.
الامتثال للمعايير الوطنية والدولية للجودة.</t>
  </si>
  <si>
    <r>
      <rPr>
        <sz val="9"/>
        <color rgb="FF1F2937"/>
        <rFont val="FreeSans"/>
        <family val="2"/>
      </rPr>
      <t xml:space="preserve">تهيئة بنية افتراضية متكاملة تدعم التوسع والمرونة باستخدام </t>
    </r>
    <r>
      <rPr>
        <sz val="9"/>
        <color rgb="FF1F2937"/>
        <rFont val="Calibri"/>
        <family val="2"/>
      </rPr>
      <t>Vmware</t>
    </r>
  </si>
  <si>
    <t>2. تعزيز الكفاءة التشغيلية وكفاءة الإنفاق
3. تمكين التحول الرقمي
6. المواءمة الاستراتيجية</t>
  </si>
  <si>
    <t>2. تمكين التكامل التقني مع الجهات الحكومية ذات العلاقة عبر قنوات البيانات الوطنية، لتبادل البيانات وتقديم خدمات موحدة ومترابطة للمستفيدين
5. تحقيق التميز في تقديم الخدمات الرقمية من خلال التوسع في رقمنة الخدمات، وتحسين تجربة المستفيدين بما يضمن الامتثال لمعايير الحكومة الرقمية
6. تنظيم الاستفادة من البنية التحتية التقنية بما يضمن استمرارية الأعمال وحوكمة الكفاءة التشغيلية</t>
  </si>
  <si>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GAP-T-11</t>
    </r>
    <r>
      <rPr>
        <sz val="9"/>
        <color rgb="FF1F2937"/>
        <rFont val="FreeSans"/>
        <family val="2"/>
      </rPr>
      <t xml:space="preserve">، </t>
    </r>
    <r>
      <rPr>
        <sz val="9"/>
        <color rgb="FF1F2937"/>
        <rFont val="Calibri"/>
        <family val="2"/>
      </rPr>
      <t>GAP-T-12</t>
    </r>
    <r>
      <rPr>
        <sz val="9"/>
        <color rgb="FF1F2937"/>
        <rFont val="FreeSans"/>
        <family val="2"/>
      </rPr>
      <t xml:space="preserve">، </t>
    </r>
    <r>
      <rPr>
        <sz val="9"/>
        <color rgb="FF1F2937"/>
        <rFont val="Calibri"/>
        <family val="2"/>
      </rPr>
      <t>GAP-T-20</t>
    </r>
  </si>
  <si>
    <r>
      <rPr>
        <sz val="9"/>
        <color rgb="FF1F2937"/>
        <rFont val="Calibri"/>
        <family val="2"/>
      </rPr>
      <t>AR07</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TR03</t>
    </r>
  </si>
  <si>
    <r>
      <rPr>
        <sz val="9"/>
        <color rgb="FF1F2937"/>
        <rFont val="FreeSans"/>
        <family val="2"/>
      </rPr>
      <t xml:space="preserve">تهيئة البيئة الافتراضية </t>
    </r>
    <r>
      <rPr>
        <sz val="9"/>
        <color rgb="FF1F2937"/>
        <rFont val="Calibri"/>
        <family val="2"/>
      </rPr>
      <t xml:space="preserve">vmware — </t>
    </r>
    <r>
      <rPr>
        <sz val="9"/>
        <color rgb="FF1F2937"/>
        <rFont val="FreeSans"/>
        <family val="2"/>
      </rPr>
      <t xml:space="preserve">تهيئة البيئة الافتراضية </t>
    </r>
    <r>
      <rPr>
        <sz val="9"/>
        <color rgb="FF1F2937"/>
        <rFont val="Calibri"/>
        <family val="2"/>
      </rPr>
      <t>vmware ,</t>
    </r>
    <r>
      <rPr>
        <sz val="9"/>
        <color rgb="FF1F2937"/>
        <rFont val="FreeSans"/>
        <family val="2"/>
      </rPr>
      <t>وتقديم الدعم الفني لها</t>
    </r>
  </si>
  <si>
    <t>دعم بيئات العمل المرنة والموزعة.
تقليل الاعتماد على الأجهزة الفعلية.
تسريع نشر الأنظمة والتطبيقات.
تحسين استغلال الموارد التقنية.</t>
  </si>
  <si>
    <t>توفير الدوائر الالكترونية</t>
  </si>
  <si>
    <t>1. دعم اتخاذ القرارات
2. تعزيز الكفاءة التشغيلية وكفاءة الإنفاق
6. المواءمة الاستراتيجية</t>
  </si>
  <si>
    <t>2. تمكين التكامل التقني مع الجهات الحكومية ذات العلاقة عبر قنوات البيانات الوطنية، لتبادل البيانات وتقديم خدمات موحدة ومترابطة للمستفيدين
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t>
  </si>
  <si>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GAP-T-8</t>
    </r>
  </si>
  <si>
    <r>
      <rPr>
        <sz val="9"/>
        <color rgb="FF1F2937"/>
        <rFont val="Calibri"/>
        <family val="2"/>
      </rPr>
      <t>AR17</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DR01</t>
    </r>
    <r>
      <rPr>
        <sz val="9"/>
        <color rgb="FF1F2937"/>
        <rFont val="FreeSans"/>
        <family val="2"/>
      </rPr>
      <t xml:space="preserve">، </t>
    </r>
    <r>
      <rPr>
        <sz val="9"/>
        <color rgb="FF1F2937"/>
        <rFont val="Calibri"/>
        <family val="2"/>
      </rPr>
      <t>TR02</t>
    </r>
  </si>
  <si>
    <t>ربط مواقع الهيئة الجغرافية بدوائر رقمية</t>
  </si>
  <si>
    <t>تعزيز التكامل مع المنصات الحكومية.
تأمين نقل البيانات بين الأنظمة.
تحسين جودة الاتصال المؤسسي.
تقليل الاعتماد على الشبكات الخارجية.</t>
  </si>
  <si>
    <t>المنصة الرقمية لمؤسسات التعليم والتدريب</t>
  </si>
  <si>
    <r>
      <rPr>
        <sz val="9"/>
        <color rgb="FF1F2937"/>
        <rFont val="Calibri"/>
        <family val="2"/>
      </rPr>
      <t>GAP-A-10</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</si>
  <si>
    <r>
      <rPr>
        <sz val="9"/>
        <color rgb="FF1F2937"/>
        <rFont val="Calibri"/>
        <family val="2"/>
      </rPr>
      <t>AR02</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BR06</t>
    </r>
    <r>
      <rPr>
        <sz val="9"/>
        <color rgb="FF1F2937"/>
        <rFont val="FreeSans"/>
        <family val="2"/>
      </rPr>
      <t xml:space="preserve">، </t>
    </r>
    <r>
      <rPr>
        <sz val="9"/>
        <color rgb="FF1F2937"/>
        <rFont val="Calibri"/>
        <family val="2"/>
      </rPr>
      <t>DR01</t>
    </r>
  </si>
  <si>
    <r>
      <rPr>
        <sz val="9"/>
        <color rgb="FF1F2937"/>
        <rFont val="FreeSans"/>
        <family val="2"/>
      </rPr>
      <t>منصة موحدة للمؤسسات التعليمية والتدريبية لإدارتها وتقديم الخدمات المتخصصة لها</t>
    </r>
    <r>
      <rPr>
        <sz val="9"/>
        <color rgb="FF1F2937"/>
        <rFont val="Calibri"/>
        <family val="2"/>
      </rPr>
      <t>.</t>
    </r>
  </si>
  <si>
    <t>توحيد الخدمات المقدمة للمؤسسات في منصة واحدة.
تقليل الإجراءات اليدوية.
رفع جودة التواصل والخدمات.
دعم الربط الآلي والتحليلات.</t>
  </si>
  <si>
    <t>داخلي</t>
  </si>
  <si>
    <t>الأعمال و التطبيقات</t>
  </si>
  <si>
    <t>31/12/2025</t>
  </si>
  <si>
    <t>النظام الشامل للاختبارات</t>
  </si>
  <si>
    <t>تطوير نظام خاص بالهيئة لتطبيق الاختبارات عالية الحساسية في المقرات</t>
  </si>
  <si>
    <t>توريد وتركيب وترقية أجهزة موزع الأحمال والرخص الخاصة بها</t>
  </si>
  <si>
    <r>
      <rPr>
        <sz val="9"/>
        <color rgb="FF1F2937"/>
        <rFont val="FreeSans"/>
        <family val="2"/>
      </rPr>
      <t xml:space="preserve">ترشيد الإنفاق التقني وإدارة الرخص بفعالية
◂ </t>
    </r>
    <r>
      <rPr>
        <sz val="9"/>
        <color rgb="FF1F2937"/>
        <rFont val="Calibri"/>
        <family val="2"/>
      </rPr>
      <t>2. مبادرة الجاهزية التشغيلية واستمرارية الأعمال | 3. مبادرة تعزيز كفاءة واستدامة البنية التحتية التقنية</t>
    </r>
  </si>
  <si>
    <r>
      <rPr>
        <sz val="9"/>
        <color rgb="FF1F2937"/>
        <rFont val="Calibri"/>
        <family val="2"/>
      </rPr>
      <t>GAP-T-8</t>
    </r>
    <r>
      <rPr>
        <sz val="9"/>
        <color rgb="FF1F2937"/>
        <rFont val="FreeSans"/>
        <family val="2"/>
      </rPr>
      <t xml:space="preserve">، </t>
    </r>
    <r>
      <rPr>
        <sz val="9"/>
        <color rgb="FF1F2937"/>
        <rFont val="Calibri"/>
        <family val="2"/>
      </rPr>
      <t>GAP-T-11</t>
    </r>
    <r>
      <rPr>
        <sz val="9"/>
        <color rgb="FF1F2937"/>
        <rFont val="FreeSans"/>
        <family val="2"/>
      </rPr>
      <t xml:space="preserve">، </t>
    </r>
    <r>
      <rPr>
        <sz val="9"/>
        <color rgb="FF1F2937"/>
        <rFont val="Calibri"/>
        <family val="2"/>
      </rPr>
      <t>GAP-T-12</t>
    </r>
    <r>
      <rPr>
        <sz val="9"/>
        <color rgb="FF1F2937"/>
        <rFont val="FreeSans"/>
        <family val="2"/>
      </rPr>
      <t xml:space="preserve">، </t>
    </r>
    <r>
      <rPr>
        <sz val="9"/>
        <color rgb="FF1F2937"/>
        <rFont val="Calibri"/>
        <family val="2"/>
      </rPr>
      <t>GAP-T-13</t>
    </r>
    <r>
      <rPr>
        <sz val="9"/>
        <color rgb="FF1F2937"/>
        <rFont val="FreeSans"/>
        <family val="2"/>
      </rPr>
      <t xml:space="preserve">، </t>
    </r>
    <r>
      <rPr>
        <sz val="9"/>
        <color rgb="FF1F2937"/>
        <rFont val="Calibri"/>
        <family val="2"/>
      </rPr>
      <t>GAP-T-14</t>
    </r>
  </si>
  <si>
    <r>
      <rPr>
        <sz val="9"/>
        <color rgb="FF1F2937"/>
        <rFont val="Calibri"/>
        <family val="2"/>
      </rPr>
      <t>AR07</t>
    </r>
    <r>
      <rPr>
        <sz val="9"/>
        <color rgb="FF1F2937"/>
        <rFont val="FreeSans"/>
        <family val="2"/>
      </rPr>
      <t xml:space="preserve">، </t>
    </r>
    <r>
      <rPr>
        <sz val="9"/>
        <color rgb="FF1F2937"/>
        <rFont val="Calibri"/>
        <family val="2"/>
      </rPr>
      <t>TR03</t>
    </r>
    <r>
      <rPr>
        <sz val="9"/>
        <color rgb="FF1F2937"/>
        <rFont val="FreeSans"/>
        <family val="2"/>
      </rPr>
      <t xml:space="preserve">، </t>
    </r>
    <r>
      <rPr>
        <sz val="9"/>
        <color rgb="FF1F2937"/>
        <rFont val="Calibri"/>
        <family val="2"/>
      </rPr>
      <t>TR04</t>
    </r>
  </si>
  <si>
    <r>
      <rPr>
        <sz val="9"/>
        <color rgb="FF1F2937"/>
        <rFont val="FreeSans"/>
        <family val="2"/>
      </rPr>
      <t xml:space="preserve">تجديد رخصة موزع الاحمال </t>
    </r>
    <r>
      <rPr>
        <sz val="9"/>
        <color rgb="FF1F2937"/>
        <rFont val="Calibri"/>
        <family val="2"/>
      </rPr>
      <t>+link controller</t>
    </r>
  </si>
  <si>
    <t>تحسين توزيع الأحمال على الخوادم.
ضمان توافرية الأنظمة عند الطلب المرتفع.
تقليل الأعطال الناتجة عن الضغط.
رفع كفاءة استجابة الخدمات الرقمية.</t>
  </si>
  <si>
    <t>• توريد أجهزة الجدار الناري والرخص الخاصة بها</t>
  </si>
  <si>
    <t>شركة التقنيات العالمية للتجارة والمقاولات</t>
  </si>
  <si>
    <t>مشروع توفير نظام الاختبارات الطارئة</t>
  </si>
  <si>
    <r>
      <rPr>
        <sz val="9"/>
        <color rgb="FF1F2937"/>
        <rFont val="Calibri"/>
        <family val="2"/>
      </rPr>
      <t>GAP-B-01</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GAP-B-23</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r>
      <rPr>
        <sz val="9"/>
        <color rgb="FF1F2937"/>
        <rFont val="FreeSans"/>
        <family val="2"/>
      </rPr>
      <t xml:space="preserve">، </t>
    </r>
    <r>
      <rPr>
        <sz val="9"/>
        <color rgb="FF1F2937"/>
        <rFont val="Calibri"/>
        <family val="2"/>
      </rPr>
      <t>GAP-T-8</t>
    </r>
  </si>
  <si>
    <r>
      <rPr>
        <sz val="9"/>
        <color rgb="FF1F2937"/>
        <rFont val="Calibri"/>
        <family val="2"/>
      </rPr>
      <t>AR18</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TR03</t>
    </r>
  </si>
  <si>
    <t>نظام لتطبيق الاختبارات في مقرات الاختبارات المحوسبة حال انقطاع الخدمة في نظام تطبيق الاختبارات الأساسي</t>
  </si>
  <si>
    <t>ضمان استمرارية الاختبارات في حالات الطوارئ.
تقليل احتمالات تعطل العمليات الأساسية.
تعزيز الجاهزية المؤسسية.
تحسين الموثوقية في تقديم الخدمات.</t>
  </si>
  <si>
    <r>
      <rPr>
        <sz val="9"/>
        <color rgb="FF1F2937"/>
        <rFont val="FreeSans"/>
        <family val="2"/>
      </rPr>
      <t xml:space="preserve">• مشروع البنية التحتية لنظام سطح المكتب الافتراضي
• تطوير نظامي اختبارات الطوارئ والاختبارات المؤسسية
• توفير حل متقدم لنظام </t>
    </r>
    <r>
      <rPr>
        <sz val="9"/>
        <color rgb="FF1F2937"/>
        <rFont val="Calibri"/>
        <family val="2"/>
      </rPr>
      <t>DNS للبيانات الداخلية والخارجية</t>
    </r>
  </si>
  <si>
    <t>شركة أم كية سي ال العربية المحدودة</t>
  </si>
  <si>
    <t>28/11/2023</t>
  </si>
  <si>
    <t>28/11/2025</t>
  </si>
  <si>
    <t>ديجيتل اكس</t>
  </si>
  <si>
    <r>
      <rPr>
        <sz val="9"/>
        <color rgb="FF1F2937"/>
        <rFont val="Calibri"/>
        <family val="2"/>
      </rPr>
      <t xml:space="preserve">3. </t>
    </r>
    <r>
      <rPr>
        <sz val="9"/>
        <color rgb="FF1F2937"/>
        <rFont val="FreeSans"/>
        <family val="2"/>
      </rPr>
      <t>تمكين التحول الرقمي</t>
    </r>
  </si>
  <si>
    <r>
      <rPr>
        <sz val="9"/>
        <color rgb="FF1F2937"/>
        <rFont val="Calibri"/>
        <family val="2"/>
      </rPr>
      <t xml:space="preserve">◂ 6. </t>
    </r>
    <r>
      <rPr>
        <sz val="9"/>
        <color rgb="FF1F2937"/>
        <rFont val="FreeSans"/>
        <family val="2"/>
      </rPr>
      <t>مبادرة التمكين الرقمي</t>
    </r>
  </si>
  <si>
    <r>
      <rPr>
        <sz val="9"/>
        <color rgb="FF1F2937"/>
        <rFont val="Calibri"/>
        <family val="2"/>
      </rPr>
      <t>GAP-B-14</t>
    </r>
    <r>
      <rPr>
        <sz val="9"/>
        <color rgb="FF1F2937"/>
        <rFont val="FreeSans"/>
        <family val="2"/>
      </rPr>
      <t xml:space="preserve">، </t>
    </r>
    <r>
      <rPr>
        <sz val="9"/>
        <color rgb="FF1F2937"/>
        <rFont val="Calibri"/>
        <family val="2"/>
      </rPr>
      <t>GAP-D-20</t>
    </r>
  </si>
  <si>
    <t>تطوير و تعزيز قدرات التحول الرقمي</t>
  </si>
  <si>
    <t>نظام توليد الأسئلة الآلي</t>
  </si>
  <si>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</si>
  <si>
    <t>توليد أسئلة الاختبارت بالذكاء الاصطناعي التوليدي</t>
  </si>
  <si>
    <t>دعم اتخاذ القرار المبني على البيانات • تعزيز القدرات التحليلية للهيئة</t>
  </si>
  <si>
    <t>توريد وتركيب أجهزة تخزين البيانات التقنية</t>
  </si>
  <si>
    <t>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
6. تنظيم الاستفادة من البنية التحتية التقنية بما يضمن استمرارية الأعمال وحوكمة الكفاءة التشغيلية</t>
  </si>
  <si>
    <r>
      <rPr>
        <sz val="9"/>
        <color rgb="FF1F2937"/>
        <rFont val="Calibri"/>
        <family val="2"/>
      </rPr>
      <t>GAP-D-19</t>
    </r>
    <r>
      <rPr>
        <sz val="9"/>
        <color rgb="FF1F2937"/>
        <rFont val="FreeSans"/>
        <family val="2"/>
      </rPr>
      <t xml:space="preserve">، </t>
    </r>
    <r>
      <rPr>
        <sz val="9"/>
        <color rgb="FF1F2937"/>
        <rFont val="Calibri"/>
        <family val="2"/>
      </rPr>
      <t>GAP-T-11</t>
    </r>
    <r>
      <rPr>
        <sz val="9"/>
        <color rgb="FF1F2937"/>
        <rFont val="FreeSans"/>
        <family val="2"/>
      </rPr>
      <t xml:space="preserve">، </t>
    </r>
    <r>
      <rPr>
        <sz val="9"/>
        <color rgb="FF1F2937"/>
        <rFont val="Calibri"/>
        <family val="2"/>
      </rPr>
      <t>GAP-T-14</t>
    </r>
  </si>
  <si>
    <t>تنفيذ حل تخزين جديد مع نظام تخزين شبكي جديد باإلضافة الى حل لبيئة افتراضية , ويشمل ذلك تركيب األجهزة ,تكوين 
البرمجيات ,و التحقق من سالمتها</t>
  </si>
  <si>
    <t>• توريد وتركيب أدوات إدارة البيانات الوصفية والبيانات الرئيسية والمرجعية
• توريد وتركيب وترقية أجهزة موزع الأحمال والرخص الخاصة بها
• توريد وتركيب أنظمة إدارة وحوكمة البيانات</t>
  </si>
  <si>
    <t>البيانات و التطبيقات و التقنية</t>
  </si>
  <si>
    <t>الخدمات التشغيلية لرفع نضج الخدمات الرقمية</t>
  </si>
  <si>
    <r>
      <rPr>
        <sz val="9"/>
        <color rgb="FF1F2937"/>
        <rFont val="FreeSans"/>
        <family val="2"/>
      </rPr>
      <t xml:space="preserve">تنفيذ خطة التحول الرقمية وتطبيقها
◂ </t>
    </r>
    <r>
      <rPr>
        <sz val="9"/>
        <color rgb="FF1F2937"/>
        <rFont val="Calibri"/>
        <family val="2"/>
      </rPr>
      <t>5. مبادرة تحسين تجربة المستفيد الرقمية</t>
    </r>
  </si>
  <si>
    <r>
      <rPr>
        <sz val="9"/>
        <color rgb="FF1F2937"/>
        <rFont val="Calibri"/>
        <family val="2"/>
      </rPr>
      <t>GAP-A-01</t>
    </r>
    <r>
      <rPr>
        <sz val="9"/>
        <color rgb="FF1F2937"/>
        <rFont val="FreeSans"/>
        <family val="2"/>
      </rPr>
      <t xml:space="preserve">، </t>
    </r>
    <r>
      <rPr>
        <sz val="9"/>
        <color rgb="FF1F2937"/>
        <rFont val="Calibri"/>
        <family val="2"/>
      </rPr>
      <t>GAP-A-02</t>
    </r>
    <r>
      <rPr>
        <sz val="9"/>
        <color rgb="FF1F2937"/>
        <rFont val="FreeSans"/>
        <family val="2"/>
      </rPr>
      <t xml:space="preserve">، </t>
    </r>
    <r>
      <rPr>
        <sz val="9"/>
        <color rgb="FF1F2937"/>
        <rFont val="Calibri"/>
        <family val="2"/>
      </rPr>
      <t>GAP-A-03</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GAP-B-29</t>
    </r>
    <r>
      <rPr>
        <sz val="9"/>
        <color rgb="FF1F2937"/>
        <rFont val="FreeSans"/>
        <family val="2"/>
      </rPr>
      <t xml:space="preserve">، </t>
    </r>
    <r>
      <rPr>
        <sz val="9"/>
        <color rgb="FF1F2937"/>
        <rFont val="Calibri"/>
        <family val="2"/>
      </rPr>
      <t>GAP-T-20</t>
    </r>
  </si>
  <si>
    <r>
      <rPr>
        <sz val="9"/>
        <color rgb="FF1F2937"/>
        <rFont val="Calibri"/>
        <family val="2"/>
      </rPr>
      <t>AR17</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BR11</t>
    </r>
    <r>
      <rPr>
        <sz val="9"/>
        <color rgb="FF1F2937"/>
        <rFont val="FreeSans"/>
        <family val="2"/>
      </rPr>
      <t xml:space="preserve">، </t>
    </r>
    <r>
      <rPr>
        <sz val="9"/>
        <color rgb="FF1F2937"/>
        <rFont val="Calibri"/>
        <family val="2"/>
      </rPr>
      <t>BR18</t>
    </r>
    <r>
      <rPr>
        <sz val="9"/>
        <color rgb="FF1F2937"/>
        <rFont val="FreeSans"/>
        <family val="2"/>
      </rPr>
      <t xml:space="preserve">، </t>
    </r>
    <r>
      <rPr>
        <sz val="9"/>
        <color rgb="FF1F2937"/>
        <rFont val="Calibri"/>
        <family val="2"/>
      </rPr>
      <t>DR01</t>
    </r>
  </si>
  <si>
    <r>
      <rPr>
        <sz val="9"/>
        <color rgb="FF1F2937"/>
        <rFont val="FreeSans"/>
        <family val="2"/>
      </rPr>
      <t xml:space="preserve">خدمات استشارية وتشغيلية مدارة تهدف إلى تعزيز إدارة دورة حياة البرمجيات </t>
    </r>
    <r>
      <rPr>
        <sz val="9"/>
        <color rgb="FF1F2937"/>
        <rFont val="Calibri"/>
        <family val="2"/>
      </rPr>
      <t xml:space="preserve">(SDLC) </t>
    </r>
    <r>
      <rPr>
        <sz val="9"/>
        <color rgb="FF1F2937"/>
        <rFont val="FreeSans"/>
        <family val="2"/>
      </rPr>
      <t>من خلال تطبيق معايير وأطر عمل حديثة لتحسين جودة البرمجيات وضمان التحسين المستمر</t>
    </r>
    <r>
      <rPr>
        <sz val="9"/>
        <color rgb="FF1F2937"/>
        <rFont val="Calibri"/>
        <family val="2"/>
      </rPr>
      <t xml:space="preserve">. — </t>
    </r>
    <r>
      <rPr>
        <sz val="9"/>
        <color rgb="FF1F2937"/>
        <rFont val="FreeSans"/>
        <family val="2"/>
      </rPr>
      <t xml:space="preserve">تقديم خدمات تشغيلية مدارة لتنفيذ وتفعيل ممارسات حديثة لإدارة دورة حياة البرمجيات </t>
    </r>
    <r>
      <rPr>
        <sz val="9"/>
        <color rgb="FF1F2937"/>
        <rFont val="Calibri"/>
        <family val="2"/>
      </rPr>
      <t xml:space="preserve">(SDLC) </t>
    </r>
    <r>
      <rPr>
        <sz val="9"/>
        <color rgb="FF1F2937"/>
        <rFont val="FreeSans"/>
        <family val="2"/>
      </rPr>
      <t>وفق أفضل الممارسات والمعايير</t>
    </r>
  </si>
  <si>
    <t>تحسين جودة وتكامل البرمجيات.
تسريع دورات التطوير والنشر.
توحيد ممارسات إدارة التطبيقات والصيانة.
تقليل المخاطر التقنية عبر تطبيق أفضل الأطر.</t>
  </si>
  <si>
    <t>• تقديم الخدمات الاستشارية لقطاع البيانات والتحول الرقمي</t>
  </si>
  <si>
    <t>تقديم خدمة التوقيع الالكتروني</t>
  </si>
  <si>
    <r>
      <rPr>
        <sz val="9"/>
        <color rgb="FF1F2937"/>
        <rFont val="Calibri"/>
        <family val="2"/>
      </rPr>
      <t>GAP-A-01</t>
    </r>
    <r>
      <rPr>
        <sz val="9"/>
        <color rgb="FF1F2937"/>
        <rFont val="FreeSans"/>
        <family val="2"/>
      </rPr>
      <t xml:space="preserve">، </t>
    </r>
    <r>
      <rPr>
        <sz val="9"/>
        <color rgb="FF1F2937"/>
        <rFont val="Calibri"/>
        <family val="2"/>
      </rPr>
      <t>GAP-A-07</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GAP-T-12</t>
    </r>
  </si>
  <si>
    <r>
      <rPr>
        <sz val="9"/>
        <color rgb="FF1F2937"/>
        <rFont val="Calibri"/>
        <family val="2"/>
      </rPr>
      <t>AR18</t>
    </r>
    <r>
      <rPr>
        <sz val="9"/>
        <color rgb="FF1F2937"/>
        <rFont val="FreeSans"/>
        <family val="2"/>
      </rPr>
      <t xml:space="preserve">، </t>
    </r>
    <r>
      <rPr>
        <sz val="9"/>
        <color rgb="FF1F2937"/>
        <rFont val="Calibri"/>
        <family val="2"/>
      </rPr>
      <t>TR01</t>
    </r>
  </si>
  <si>
    <r>
      <rPr>
        <sz val="9"/>
        <color rgb="FF1F2937"/>
        <rFont val="FreeSans"/>
        <family val="2"/>
      </rPr>
      <t>لتطبيق حلول التوقيع الإلكتروني المتكاملة من خلال مقدم خدمة مرخص من هيئة الحكومة الرقمية بترخيص نوع شامل لتقديم الخدمة فعليا وتطبيق أحدث التقنيات العالمية في مجال تقنية التوقيع الرقمي والترخيص من هيئة الامن السيبراني كمقدم خدمة وتوفير إمكانية التوقيع الرقمي الصادر من مقدم الخدمة بشكل مباشر من الجذر السعودي والمقبول في قانون المعاملات الإلكترونية من على بعد بكفاءة وسلاسة وتطبيق البيئة الورقية وبدون حضور شخصي</t>
    </r>
    <r>
      <rPr>
        <sz val="9"/>
        <color rgb="FF1F2937"/>
        <rFont val="Calibri"/>
        <family val="2"/>
      </rPr>
      <t xml:space="preserve">. </t>
    </r>
    <r>
      <rPr>
        <sz val="9"/>
        <color rgb="FF1F2937"/>
        <rFont val="FreeSans"/>
        <family val="2"/>
      </rPr>
      <t xml:space="preserve">لتحقيق رؤية المملكة </t>
    </r>
    <r>
      <rPr>
        <sz val="9"/>
        <color rgb="FF1F2937"/>
        <rFont val="Calibri"/>
        <family val="2"/>
      </rPr>
      <t xml:space="preserve">2030 </t>
    </r>
    <r>
      <rPr>
        <sz val="9"/>
        <color rgb="FF1F2937"/>
        <rFont val="FreeSans"/>
        <family val="2"/>
      </rPr>
      <t>للتحول الرقمي وتحقيق الالتزام حسب معايير هيئة الحكومة الرقمية والوصول لهدف المصادقة على أوراق ومعاملات رسمية بلا حضور</t>
    </r>
    <r>
      <rPr>
        <sz val="9"/>
        <color rgb="FF1F2937"/>
        <rFont val="Calibri"/>
        <family val="2"/>
      </rPr>
      <t>.</t>
    </r>
  </si>
  <si>
    <t>تحسين تجربة المستفيد • تسهيل الوصول إلى الخدمات الرقمية • تعزيز الحوكمة والأمن السيبراني • حماية بيانات الهيئة والمستفيدين</t>
  </si>
  <si>
    <t>تصميم نماذج رقمية للتهيئة لاختبارات القدرات</t>
  </si>
  <si>
    <t>4. بناء قدرات رقمية وطنية وتمكين الكفاءات المتخصصة والعامة في مجال البيانات والتحول الرقمي، من خلال مسارات تدريبية مستهدفة متوافقة مع معايير بناء الكفاءات
5. تحقيق التميز في تقديم الخدمات الرقمية من خلال التوسع في رقمنة الخدمات، وتحسين تجربة المستفيدين بما يضمن الامتثال لمعايير الحكومة الرقمية</t>
  </si>
  <si>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GAP-B-28</t>
    </r>
  </si>
  <si>
    <t>تصميم نماذج تدريبية تفاعلية موجهة للمستفيدين من الاختبارات وذلك على شكل نماذج رقمية للتهيئة لاختبارات القدرات</t>
  </si>
  <si>
    <t>30/06/2026</t>
  </si>
  <si>
    <t>تقديم خدمة ربط أنظمة الهيئة بتطبيق توكلنا</t>
  </si>
  <si>
    <t>3. تمكين التحول الرقمي
4. دعم تحسين تجربة المستفيد
5. تعزيز الحوكمة المؤسسية</t>
  </si>
  <si>
    <r>
      <rPr>
        <sz val="9"/>
        <color rgb="FF1F2937"/>
        <rFont val="Calibri"/>
        <family val="2"/>
      </rPr>
      <t>GAP-A-01</t>
    </r>
    <r>
      <rPr>
        <sz val="9"/>
        <color rgb="FF1F2937"/>
        <rFont val="FreeSans"/>
        <family val="2"/>
      </rPr>
      <t xml:space="preserve">، </t>
    </r>
    <r>
      <rPr>
        <sz val="9"/>
        <color rgb="FF1F2937"/>
        <rFont val="Calibri"/>
        <family val="2"/>
      </rPr>
      <t>GAP-A-07</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</si>
  <si>
    <r>
      <rPr>
        <sz val="9"/>
        <color rgb="FF1F2937"/>
        <rFont val="FreeSans"/>
        <family val="2"/>
      </rPr>
      <t xml:space="preserve">خدمة ربط أنظمة الهيئة لأغراض التكامل التقني المدارة التي تهدف إلى تقديم خدمات لعمليات الربط للأنظمة الحالية وقابلية التكامل فيما بينها داخليا بتطبيق توكلنا من خلال الربط مع البنية التقنية للأنظمة ولتبني واجهة برمجة التطبيقات التي تعتمد على معايير </t>
    </r>
    <r>
      <rPr>
        <sz val="9"/>
        <color rgb="FF1F2937"/>
        <rFont val="Calibri"/>
        <family val="2"/>
      </rPr>
      <t xml:space="preserve">RESTful </t>
    </r>
    <r>
      <rPr>
        <sz val="9"/>
        <color rgb="FF1F2937"/>
        <rFont val="FreeSans"/>
        <family val="2"/>
      </rPr>
      <t xml:space="preserve">و </t>
    </r>
    <r>
      <rPr>
        <sz val="9"/>
        <color rgb="FF1F2937"/>
        <rFont val="Calibri"/>
        <family val="2"/>
      </rPr>
      <t xml:space="preserve">GraphQL </t>
    </r>
    <r>
      <rPr>
        <sz val="9"/>
        <color rgb="FF1F2937"/>
        <rFont val="FreeSans"/>
        <family val="2"/>
      </rPr>
      <t>وذلك لأغراض التكامل</t>
    </r>
    <r>
      <rPr>
        <sz val="9"/>
        <color rgb="FF1F2937"/>
        <rFont val="Calibri"/>
        <family val="2"/>
      </rPr>
      <t>.</t>
    </r>
  </si>
  <si>
    <t>تعزيز التكامل مع المنصات الوطنية.
تبسيط تجربة المستخدم عبر الوصول الموحد.
دعم متطلبات الأمن والمصادقة الرقمية.
رفع كفاءة تبادل البيانات الحكومية.</t>
  </si>
  <si>
    <t>15/5/2025</t>
  </si>
  <si>
    <t>15/9/2027</t>
  </si>
  <si>
    <t>تشغيل وصيانة البنية التحتية</t>
  </si>
  <si>
    <r>
      <rPr>
        <sz val="9"/>
        <color rgb="FF1F2937"/>
        <rFont val="Calibri"/>
        <family val="2"/>
      </rPr>
      <t>GAP-B-01</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r>
      <rPr>
        <sz val="9"/>
        <color rgb="FF1F2937"/>
        <rFont val="FreeSans"/>
        <family val="2"/>
      </rPr>
      <t xml:space="preserve">، </t>
    </r>
    <r>
      <rPr>
        <sz val="9"/>
        <color rgb="FF1F2937"/>
        <rFont val="Calibri"/>
        <family val="2"/>
      </rPr>
      <t>GAP-T-8</t>
    </r>
    <r>
      <rPr>
        <sz val="9"/>
        <color rgb="FF1F2937"/>
        <rFont val="FreeSans"/>
        <family val="2"/>
      </rPr>
      <t xml:space="preserve">، </t>
    </r>
    <r>
      <rPr>
        <sz val="9"/>
        <color rgb="FF1F2937"/>
        <rFont val="Calibri"/>
        <family val="2"/>
      </rPr>
      <t>GAP-T-10</t>
    </r>
    <r>
      <rPr>
        <sz val="9"/>
        <color rgb="FF1F2937"/>
        <rFont val="FreeSans"/>
        <family val="2"/>
      </rPr>
      <t xml:space="preserve">، </t>
    </r>
    <r>
      <rPr>
        <sz val="9"/>
        <color rgb="FF1F2937"/>
        <rFont val="Calibri"/>
        <family val="2"/>
      </rPr>
      <t>GAP-T-19</t>
    </r>
  </si>
  <si>
    <r>
      <rPr>
        <sz val="9"/>
        <color rgb="FF1F2937"/>
        <rFont val="Calibri"/>
        <family val="2"/>
      </rPr>
      <t>BR02</t>
    </r>
    <r>
      <rPr>
        <sz val="9"/>
        <color rgb="FF1F2937"/>
        <rFont val="FreeSans"/>
        <family val="2"/>
      </rPr>
      <t xml:space="preserve">، </t>
    </r>
    <r>
      <rPr>
        <sz val="9"/>
        <color rgb="FF1F2937"/>
        <rFont val="Calibri"/>
        <family val="2"/>
      </rPr>
      <t>BR06</t>
    </r>
    <r>
      <rPr>
        <sz val="9"/>
        <color rgb="FF1F2937"/>
        <rFont val="FreeSans"/>
        <family val="2"/>
      </rPr>
      <t xml:space="preserve">، </t>
    </r>
    <r>
      <rPr>
        <sz val="9"/>
        <color rgb="FF1F2937"/>
        <rFont val="Calibri"/>
        <family val="2"/>
      </rPr>
      <t>TR03</t>
    </r>
    <r>
      <rPr>
        <sz val="9"/>
        <color rgb="FF1F2937"/>
        <rFont val="FreeSans"/>
        <family val="2"/>
      </rPr>
      <t xml:space="preserve">، </t>
    </r>
    <r>
      <rPr>
        <sz val="9"/>
        <color rgb="FF1F2937"/>
        <rFont val="Calibri"/>
        <family val="2"/>
      </rPr>
      <t>TR04</t>
    </r>
  </si>
  <si>
    <r>
      <rPr>
        <sz val="9"/>
        <color rgb="FF1F2937"/>
        <rFont val="FreeSans"/>
        <family val="2"/>
      </rPr>
      <t xml:space="preserve">تشغيل البنية التحتية لهيئة تقويم التعليم والتدريب في المراكز التالية:
</t>
    </r>
    <r>
      <rPr>
        <sz val="9"/>
        <color rgb="FF1F2937"/>
        <rFont val="Calibri"/>
        <family val="2"/>
      </rPr>
      <t>1. مركز بيانات الهيئة المستضاف خارجياً.
2‌. مركز بيانات الهيئة الافتراضي في سحابة ديم.
3‌. مركز بيانات الهيئة في المقر الرئيسي والشبكة في المقر الرئيسي للهيئة وفرع الندى ومقرات الاختبارات بعدد 95 مقر. — تشغيل البنية التحتية وتقديم الدعم الفني لهيئة تقويم التعليم والتدريب في المراكز التالية:
1. مركز بيانات الهيئة المستضاف خارجياً.
2‌. مركز بيانات الهيئة الافتراضي في سحابة ديم.
3‌. مركز بيانات الهيئة في المقر الرئيسي والشبكة في المقر الرئيسي للهيئة وفرع الندى ومقرات الاختبارات بعدد 95 مقر.</t>
    </r>
  </si>
  <si>
    <t>ضمان الجاهزية التشغيلية للخدمات التقنية.
تقليل الأعطال وتعزيز الاستمرارية.
تحسين كفاءة إدارة البنية التحتية.
دعم الأتمتة والتحول الرقمي.</t>
  </si>
  <si>
    <t xml:space="preserve">• مشروع البنية التحتية لنظام سطح المكتب الافتراضي
•  تشغيل وصيانة أنظمة هيئة تقويم التعليم والتدريب
• تشغيل وصيانة تطبيق ألف ياء لاختبارات بطارية الذكاء المرتبطة بقياس القدرات العقلية </t>
  </si>
  <si>
    <t>شركة بحر العرب لانظمة المعلومات</t>
  </si>
  <si>
    <t>تركيب وتشغيل اداة تحليل البيانات وتعلم الآلة جاهزة للتطبيق</t>
  </si>
  <si>
    <r>
      <rPr>
        <sz val="9"/>
        <color rgb="FF1F2937"/>
        <rFont val="FreeSans"/>
        <family val="2"/>
      </rPr>
      <t xml:space="preserve">تعزيز القدرات التحليلية والتقنية والذكاء الاصطناعي
◂ </t>
    </r>
    <r>
      <rPr>
        <sz val="9"/>
        <color rgb="FF1F2937"/>
        <rFont val="Calibri"/>
        <family val="2"/>
      </rPr>
      <t>1. مبادرة الذكاء الاصطناعي والتحليلات المتقدمة</t>
    </r>
  </si>
  <si>
    <r>
      <rPr>
        <sz val="9"/>
        <color rgb="FF1F2937"/>
        <rFont val="Calibri"/>
        <family val="2"/>
      </rPr>
      <t>GAP-A-10</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GAP-B-11</t>
    </r>
    <r>
      <rPr>
        <sz val="9"/>
        <color rgb="FF1F2937"/>
        <rFont val="FreeSans"/>
        <family val="2"/>
      </rPr>
      <t xml:space="preserve">، </t>
    </r>
    <r>
      <rPr>
        <sz val="9"/>
        <color rgb="FF1F2937"/>
        <rFont val="Calibri"/>
        <family val="2"/>
      </rPr>
      <t>GAP-B-12</t>
    </r>
    <r>
      <rPr>
        <sz val="9"/>
        <color rgb="FF1F2937"/>
        <rFont val="FreeSans"/>
        <family val="2"/>
      </rPr>
      <t xml:space="preserve">، </t>
    </r>
    <r>
      <rPr>
        <sz val="9"/>
        <color rgb="FF1F2937"/>
        <rFont val="Calibri"/>
        <family val="2"/>
      </rPr>
      <t>GAP-B-18</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</si>
  <si>
    <r>
      <rPr>
        <sz val="9"/>
        <color rgb="FF1F2937"/>
        <rFont val="Calibri"/>
        <family val="2"/>
      </rPr>
      <t>AR02</t>
    </r>
    <r>
      <rPr>
        <sz val="9"/>
        <color rgb="FF1F2937"/>
        <rFont val="FreeSans"/>
        <family val="2"/>
      </rPr>
      <t xml:space="preserve">، </t>
    </r>
    <r>
      <rPr>
        <sz val="9"/>
        <color rgb="FF1F2937"/>
        <rFont val="Calibri"/>
        <family val="2"/>
      </rPr>
      <t>AR08</t>
    </r>
    <r>
      <rPr>
        <sz val="9"/>
        <color rgb="FF1F2937"/>
        <rFont val="FreeSans"/>
        <family val="2"/>
      </rPr>
      <t xml:space="preserve">، </t>
    </r>
    <r>
      <rPr>
        <sz val="9"/>
        <color rgb="FF1F2937"/>
        <rFont val="Calibri"/>
        <family val="2"/>
      </rPr>
      <t>AR17</t>
    </r>
    <r>
      <rPr>
        <sz val="9"/>
        <color rgb="FF1F2937"/>
        <rFont val="FreeSans"/>
        <family val="2"/>
      </rPr>
      <t xml:space="preserve">، </t>
    </r>
    <r>
      <rPr>
        <sz val="9"/>
        <color rgb="FF1F2937"/>
        <rFont val="Calibri"/>
        <family val="2"/>
      </rPr>
      <t>BR07</t>
    </r>
    <r>
      <rPr>
        <sz val="9"/>
        <color rgb="FF1F2937"/>
        <rFont val="FreeSans"/>
        <family val="2"/>
      </rPr>
      <t xml:space="preserve">، </t>
    </r>
    <r>
      <rPr>
        <sz val="9"/>
        <color rgb="FF1F2937"/>
        <rFont val="Calibri"/>
        <family val="2"/>
      </rPr>
      <t>DR01</t>
    </r>
  </si>
  <si>
    <r>
      <rPr>
        <sz val="9"/>
        <color rgb="FF1F2937"/>
        <rFont val="FreeSans"/>
        <family val="2"/>
      </rPr>
      <t>تشغيل أداة تحليل البيانات وتعلم الآلة لتطوير محرك التقويم الذكي و غيره من التطبيقات التي يمكن تطويرها في الهيئة</t>
    </r>
    <r>
      <rPr>
        <sz val="9"/>
        <color rgb="FF1F2937"/>
        <rFont val="Calibri"/>
        <family val="2"/>
      </rPr>
      <t>.</t>
    </r>
  </si>
  <si>
    <t>دعم التحليلات التنبؤية المتقدمة.
تحسين جودة اتخاذ القرار.
تسريع معالجة وتحليل البيانات.
تعزيز الابتكار المؤسسي بالذكاء الاصطناعي.</t>
  </si>
  <si>
    <t>الشركة السعودية للحاسبات الالكترونية</t>
  </si>
  <si>
    <t>14/08/2023</t>
  </si>
  <si>
    <t>مشروع خدمة النفاذ الموحد</t>
  </si>
  <si>
    <t>4. دعم تحسين تجربة المستفيد
5. تعزيز الحوكمة المؤسسية
6. المواءمة الاستراتيجية</t>
  </si>
  <si>
    <t>2. تمكين التكامل التقني مع الجهات الحكومية ذات العلاقة عبر قنوات البيانات الوطنية، لتبادل البيانات وتقديم خدمات موحدة ومترابطة للمستفيدين
5. تحقيق التميز في تقديم الخدمات الرقمية من خلال التوسع في رقمنة الخدمات، وتحسين تجربة المستفيدين بما يضمن الامتثال لمعايير الحكومة الرقمية</t>
  </si>
  <si>
    <r>
      <rPr>
        <sz val="9"/>
        <color rgb="FF1F2937"/>
        <rFont val="FreeSans"/>
        <family val="2"/>
      </rPr>
      <t xml:space="preserve">رفع جاهزية واستدامة البنية التحتية التقنية
◂ </t>
    </r>
    <r>
      <rPr>
        <sz val="9"/>
        <color rgb="FF1F2937"/>
        <rFont val="Calibri"/>
        <family val="2"/>
      </rPr>
      <t>5. مبادرة تحسين تجربة المستفيد الرقمية</t>
    </r>
  </si>
  <si>
    <r>
      <rPr>
        <sz val="9"/>
        <color rgb="FF1F2937"/>
        <rFont val="Calibri"/>
        <family val="2"/>
      </rPr>
      <t>GAP-A-01</t>
    </r>
    <r>
      <rPr>
        <sz val="9"/>
        <color rgb="FF1F2937"/>
        <rFont val="FreeSans"/>
        <family val="2"/>
      </rPr>
      <t xml:space="preserve">، </t>
    </r>
    <r>
      <rPr>
        <sz val="9"/>
        <color rgb="FF1F2937"/>
        <rFont val="Calibri"/>
        <family val="2"/>
      </rPr>
      <t>GAP-A-07</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GAP-T-3</t>
    </r>
  </si>
  <si>
    <t>توفير عمليات للخدمة النفاذ الموحد</t>
  </si>
  <si>
    <t>تسهيل الوصول الموحد لجميع الخدمات.
تعزيز الأمان والتحقق الإلكتروني.
تقليل الحاجة لحسابات متعددة.
التكامل مع المنصات الحكومية.</t>
  </si>
  <si>
    <t>• تطبيق خدمة النفاذ الوطني الموحد في هيئة تقويم التعليم والتدريب
• مشروع استضافة مركز البيانات الى مقدم خدمة بنية تحتية</t>
  </si>
  <si>
    <t>27/11/2023</t>
  </si>
  <si>
    <t>27/11/2025</t>
  </si>
  <si>
    <t>تطبيق خدمة النفاذ الوطني الموحد في هيئة تقويم التعليم والتدريب</t>
  </si>
  <si>
    <r>
      <rPr>
        <sz val="9"/>
        <color rgb="FF1F2937"/>
        <rFont val="Calibri"/>
        <family val="2"/>
      </rPr>
      <t>AR06</t>
    </r>
    <r>
      <rPr>
        <sz val="9"/>
        <color rgb="FF1F2937"/>
        <rFont val="FreeSans"/>
        <family val="2"/>
      </rPr>
      <t xml:space="preserve">، </t>
    </r>
    <r>
      <rPr>
        <sz val="9"/>
        <color rgb="FF1F2937"/>
        <rFont val="Calibri"/>
        <family val="2"/>
      </rPr>
      <t>BR03</t>
    </r>
    <r>
      <rPr>
        <sz val="9"/>
        <color rgb="FF1F2937"/>
        <rFont val="FreeSans"/>
        <family val="2"/>
      </rPr>
      <t xml:space="preserve">، </t>
    </r>
    <r>
      <rPr>
        <sz val="9"/>
        <color rgb="FF1F2937"/>
        <rFont val="Calibri"/>
        <family val="2"/>
      </rPr>
      <t>BR04</t>
    </r>
    <r>
      <rPr>
        <sz val="9"/>
        <color rgb="FF1F2937"/>
        <rFont val="FreeSans"/>
        <family val="2"/>
      </rPr>
      <t xml:space="preserve">، </t>
    </r>
    <r>
      <rPr>
        <sz val="9"/>
        <color rgb="FF1F2937"/>
        <rFont val="Calibri"/>
        <family val="2"/>
      </rPr>
      <t>BR06</t>
    </r>
    <r>
      <rPr>
        <sz val="9"/>
        <color rgb="FF1F2937"/>
        <rFont val="FreeSans"/>
        <family val="2"/>
      </rPr>
      <t xml:space="preserve">، </t>
    </r>
    <r>
      <rPr>
        <sz val="9"/>
        <color rgb="FF1F2937"/>
        <rFont val="Calibri"/>
        <family val="2"/>
      </rPr>
      <t>TR01</t>
    </r>
  </si>
  <si>
    <t>تطبيق خدمة النفاذ الوطني الموحد لأنظمة هيئة تقويم التعليم والتدريب لخدمات الافراد</t>
  </si>
  <si>
    <t>عمليات تسجيل دخول امنه لأنظمة الهيئة للافراد</t>
  </si>
  <si>
    <t>النسخة المحدثة لمؤشر ترتيب</t>
  </si>
  <si>
    <t>1. دعم اتخاذ القرارات
3. تمكين التحول الرقمي</t>
  </si>
  <si>
    <r>
      <rPr>
        <sz val="9"/>
        <color rgb="FF1F2937"/>
        <rFont val="Calibri"/>
        <family val="2"/>
      </rPr>
      <t>GAP-B-01</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GAP-D-08</t>
    </r>
    <r>
      <rPr>
        <sz val="9"/>
        <color rgb="FF1F2937"/>
        <rFont val="FreeSans"/>
        <family val="2"/>
      </rPr>
      <t xml:space="preserve">، </t>
    </r>
    <r>
      <rPr>
        <sz val="9"/>
        <color rgb="FF1F2937"/>
        <rFont val="Calibri"/>
        <family val="2"/>
      </rPr>
      <t>GAP-D-23</t>
    </r>
  </si>
  <si>
    <r>
      <rPr>
        <sz val="9"/>
        <color rgb="FF1F2937"/>
        <rFont val="Calibri"/>
        <family val="2"/>
      </rPr>
      <t>AR04</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BR02</t>
    </r>
  </si>
  <si>
    <t>نسخة محدثة للمؤشر مضافا لها مجموعة من التصنيفات</t>
  </si>
  <si>
    <t>تقديم تصنيف أكثر دقة وحداثة.
دعم قرارات التحسين للجهات التعليمية.
تعزيز التنافس الإيجابي.
تحسين الشفافية وموثوقية البيانات.</t>
  </si>
  <si>
    <t>مركز تميّز</t>
  </si>
  <si>
    <t>30/11/2024</t>
  </si>
  <si>
    <t>نظام الاتصالات الإدارية</t>
  </si>
  <si>
    <t>1. الامتثال للسياسات ذات العلاقة بمجال البيانات والتحول الرقمي الناشئ من أنظمة الهيئة وخدماتها، ومع تعزيز الاستفادة من البيانات والأنظمة لدعم أعمال الهيئة
5. تحقيق التميز في تقديم الخدمات الرقمية من خلال التوسع في رقمنة الخدمات، وتحسين تجربة المستفيدين بما يضمن الامتثال لمعايير الحكومة الرقمية</t>
  </si>
  <si>
    <r>
      <rPr>
        <sz val="9"/>
        <color rgb="FF1F2937"/>
        <rFont val="Calibri"/>
        <family val="2"/>
      </rPr>
      <t>GAP-B-01</t>
    </r>
    <r>
      <rPr>
        <sz val="9"/>
        <color rgb="FF1F2937"/>
        <rFont val="FreeSans"/>
        <family val="2"/>
      </rPr>
      <t xml:space="preserve">، </t>
    </r>
    <r>
      <rPr>
        <sz val="9"/>
        <color rgb="FF1F2937"/>
        <rFont val="Calibri"/>
        <family val="2"/>
      </rPr>
      <t>GAP-B-02</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GAP-B-08</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GAP-B-18</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</si>
  <si>
    <r>
      <rPr>
        <sz val="9"/>
        <color rgb="FF1F2937"/>
        <rFont val="Calibri"/>
        <family val="2"/>
      </rPr>
      <t>AR01</t>
    </r>
    <r>
      <rPr>
        <sz val="9"/>
        <color rgb="FF1F2937"/>
        <rFont val="FreeSans"/>
        <family val="2"/>
      </rPr>
      <t xml:space="preserve">، </t>
    </r>
    <r>
      <rPr>
        <sz val="9"/>
        <color rgb="FF1F2937"/>
        <rFont val="Calibri"/>
        <family val="2"/>
      </rPr>
      <t>BR01</t>
    </r>
  </si>
  <si>
    <t>تطوير نظام إدارة الصادر والوارد والاحالات الداخلية</t>
  </si>
  <si>
    <t>تسريع معالجة المعاملات الإدارية.
تحسين تتبع الوثائق ومتابعتها.
تقليل الاعتماد على الورقيات.
تعزيز الكفاءة والحوكمة.</t>
  </si>
  <si>
    <r>
      <rPr>
        <sz val="9"/>
        <color rgb="FF1F2937"/>
        <rFont val="FreeSans"/>
        <family val="2"/>
      </rPr>
      <t xml:space="preserve">• تشغيل و صيانة وتهجير  بيانات  نظام الاتصالات الإدارية </t>
    </r>
    <r>
      <rPr>
        <sz val="9"/>
        <color rgb="FF1F2937"/>
        <rFont val="Calibri"/>
        <family val="2"/>
      </rPr>
      <t>(</t>
    </r>
    <r>
      <rPr>
        <sz val="9"/>
        <color rgb="FF1F2937"/>
        <rFont val="FreeSans"/>
        <family val="2"/>
      </rPr>
      <t>مراسلات</t>
    </r>
    <r>
      <rPr>
        <sz val="9"/>
        <color rgb="FF1F2937"/>
        <rFont val="Calibri"/>
        <family val="2"/>
      </rPr>
      <t>)*</t>
    </r>
  </si>
  <si>
    <t>31/03/2026</t>
  </si>
  <si>
    <t>استخدام الذكاء الاصطناعي لتصحيح الأسئلة المقالية والكتابية</t>
  </si>
  <si>
    <r>
      <rPr>
        <sz val="9"/>
        <color rgb="FF1F2937"/>
        <rFont val="FreeSans"/>
        <family val="2"/>
      </rPr>
      <t xml:space="preserve">تنفيذ خطة البيانات والذكاء الاصطناعي وتطبيقها
◂ </t>
    </r>
    <r>
      <rPr>
        <sz val="9"/>
        <color rgb="FF1F2937"/>
        <rFont val="Calibri"/>
        <family val="2"/>
      </rPr>
      <t>1. مبادرة الذكاء الاصطناعي والتحليلات المتقدمة</t>
    </r>
  </si>
  <si>
    <r>
      <rPr>
        <sz val="9"/>
        <color rgb="FF1F2937"/>
        <rFont val="Calibri"/>
        <family val="2"/>
      </rPr>
      <t>GAP-B-01</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GAP-D-17</t>
    </r>
  </si>
  <si>
    <t>استغلال تقنيات الذكاء الاصطناعي لتصحيح الأسئلة المقالية والكتابية لسرعة انجاز تصحيح اجابات المختبرين</t>
  </si>
  <si>
    <t>تسريع عملية التصحيح.
تحسين دقة النتائج وتقليل التحيز البشري.
تقليل التكلفة التشغيلية.
توسيع القدرة الاستيعابية للاختبارات المقالية.</t>
  </si>
  <si>
    <t>التطبيقات و البيانات</t>
  </si>
  <si>
    <t>تشغيل وصيانة أنظمة الهيئة ومراكزها وتشغيل وصيانة نظام اختبارات الطوارئ</t>
  </si>
  <si>
    <r>
      <rPr>
        <sz val="9"/>
        <color rgb="FF1F2937"/>
        <rFont val="Calibri"/>
        <family val="2"/>
      </rPr>
      <t>GAP-A-06</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</si>
  <si>
    <t>ضمان استمرارية الخدمات التقنية • تقليل الأعطال والانقطاعات • دعم منظومة الاختبارات والتقويم • رفع جودة إجراء الاختبارات الرقمية</t>
  </si>
  <si>
    <t>تجديد استضافة مركز البيانات مع مقدم خدمة بنية تحتية</t>
  </si>
  <si>
    <t>1. الامتثال للسياسات ذات العلاقة بمجال البيانات والتحول الرقمي الناشئ من أنظمة الهيئة وخدماتها، ومع تعزيز الاستفادة من البيانات والأنظمة لدعم أعمال الهيئة
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
6. تنظيم الاستفادة من البنية التحتية التقنية بما يضمن استمرارية الأعمال وحوكمة الكفاءة التشغيلية</t>
  </si>
  <si>
    <r>
      <rPr>
        <sz val="9"/>
        <color rgb="FF1F2937"/>
        <rFont val="Calibri"/>
        <family val="2"/>
      </rPr>
      <t>GAP-B-14</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r>
      <rPr>
        <sz val="9"/>
        <color rgb="FF1F2937"/>
        <rFont val="FreeSans"/>
        <family val="2"/>
      </rPr>
      <t xml:space="preserve">، </t>
    </r>
    <r>
      <rPr>
        <sz val="9"/>
        <color rgb="FF1F2937"/>
        <rFont val="Calibri"/>
        <family val="2"/>
      </rPr>
      <t>GAP-T-2</t>
    </r>
    <r>
      <rPr>
        <sz val="9"/>
        <color rgb="FF1F2937"/>
        <rFont val="FreeSans"/>
        <family val="2"/>
      </rPr>
      <t xml:space="preserve">، </t>
    </r>
    <r>
      <rPr>
        <sz val="9"/>
        <color rgb="FF1F2937"/>
        <rFont val="Calibri"/>
        <family val="2"/>
      </rPr>
      <t>GAP-T-10</t>
    </r>
    <r>
      <rPr>
        <sz val="9"/>
        <color rgb="FF1F2937"/>
        <rFont val="FreeSans"/>
        <family val="2"/>
      </rPr>
      <t xml:space="preserve">، </t>
    </r>
    <r>
      <rPr>
        <sz val="9"/>
        <color rgb="FF1F2937"/>
        <rFont val="Calibri"/>
        <family val="2"/>
      </rPr>
      <t>GAP-T-15</t>
    </r>
    <r>
      <rPr>
        <sz val="9"/>
        <color rgb="FF1F2937"/>
        <rFont val="FreeSans"/>
        <family val="2"/>
      </rPr>
      <t xml:space="preserve">، </t>
    </r>
    <r>
      <rPr>
        <sz val="9"/>
        <color rgb="FF1F2937"/>
        <rFont val="Calibri"/>
        <family val="2"/>
      </rPr>
      <t>GAP-T-19</t>
    </r>
  </si>
  <si>
    <t>استضافة مركز البيانات هيئة تقويم التعليم والتدريب من مقدم خدمة لعدم جاهزية الموقع الحالي</t>
  </si>
  <si>
    <r>
      <rPr>
        <sz val="9"/>
        <color rgb="FF1F2937"/>
        <rFont val="FreeSans"/>
        <family val="2"/>
      </rPr>
      <t>تعزيز موثوقية واستمرارية الخدمات من خلال استضافة احترافية ببيئة مؤمنة.
تقليل التكاليف التشغيلية المرتبطة بإدارة البنية التحتية داخليًا.
رفع مستوى الأمان والامتثال بمعايير مراكز البيانات المعتمدة (</t>
    </r>
    <r>
      <rPr>
        <sz val="9"/>
        <color rgb="FF1F2937"/>
        <rFont val="Calibri"/>
        <family val="2"/>
      </rPr>
      <t xml:space="preserve">Tier-III أو أعلى).
</t>
    </r>
    <r>
      <rPr>
        <sz val="9"/>
        <color rgb="FF1F2937"/>
        <rFont val="FreeSans"/>
        <family val="2"/>
      </rPr>
      <t>تمكين التوسع التقني السريع دون الحاجة لاستثمارات بنية تحتية داخلية إضافية.</t>
    </r>
  </si>
  <si>
    <t>• مشروع استضافة مركز البيانات الى مقدم خدمة بنية تحتية</t>
  </si>
  <si>
    <r>
      <rPr>
        <sz val="9"/>
        <color rgb="FF1F2937"/>
        <rFont val="FreeSans"/>
        <family val="2"/>
      </rPr>
      <t xml:space="preserve">توفير حل متقدم لنظام </t>
    </r>
    <r>
      <rPr>
        <sz val="9"/>
        <color rgb="FF1F2937"/>
        <rFont val="Calibri"/>
        <family val="2"/>
      </rPr>
      <t xml:space="preserve">DNS </t>
    </r>
    <r>
      <rPr>
        <sz val="9"/>
        <color rgb="FF1F2937"/>
        <rFont val="FreeSans"/>
        <family val="2"/>
      </rPr>
      <t>للبيانات الداخلية والخارجية</t>
    </r>
  </si>
  <si>
    <r>
      <rPr>
        <sz val="9"/>
        <color rgb="FF1F2937"/>
        <rFont val="Calibri"/>
        <family val="2"/>
      </rPr>
      <t>GAP-A-06</t>
    </r>
    <r>
      <rPr>
        <sz val="9"/>
        <color rgb="FF1F2937"/>
        <rFont val="FreeSans"/>
        <family val="2"/>
      </rPr>
      <t xml:space="preserve">، </t>
    </r>
    <r>
      <rPr>
        <sz val="9"/>
        <color rgb="FF1F2937"/>
        <rFont val="Calibri"/>
        <family val="2"/>
      </rPr>
      <t>GAP-T-1</t>
    </r>
    <r>
      <rPr>
        <sz val="9"/>
        <color rgb="FF1F2937"/>
        <rFont val="FreeSans"/>
        <family val="2"/>
      </rPr>
      <t xml:space="preserve">، </t>
    </r>
    <r>
      <rPr>
        <sz val="9"/>
        <color rgb="FF1F2937"/>
        <rFont val="Calibri"/>
        <family val="2"/>
      </rPr>
      <t>GAP-T-4</t>
    </r>
    <r>
      <rPr>
        <sz val="9"/>
        <color rgb="FF1F2937"/>
        <rFont val="FreeSans"/>
        <family val="2"/>
      </rPr>
      <t xml:space="preserve">، </t>
    </r>
    <r>
      <rPr>
        <sz val="9"/>
        <color rgb="FF1F2937"/>
        <rFont val="Calibri"/>
        <family val="2"/>
      </rPr>
      <t>GAP-T-17</t>
    </r>
  </si>
  <si>
    <r>
      <rPr>
        <sz val="9"/>
        <color rgb="FF1F2937"/>
        <rFont val="FreeSans"/>
        <family val="2"/>
      </rPr>
      <t xml:space="preserve">توفير وإدارة حل </t>
    </r>
    <r>
      <rPr>
        <sz val="9"/>
        <color rgb="FF1F2937"/>
        <rFont val="Calibri"/>
        <family val="2"/>
      </rPr>
      <t xml:space="preserve">DNS </t>
    </r>
    <r>
      <rPr>
        <sz val="9"/>
        <color rgb="FF1F2937"/>
        <rFont val="FreeSans"/>
        <family val="2"/>
      </rPr>
      <t xml:space="preserve">خارجي وداخلي مع ميزات متقدمة للأمان وقابلية التوسع، حيث يحمي الشبكة من ثغرات </t>
    </r>
    <r>
      <rPr>
        <sz val="9"/>
        <color rgb="FF1F2937"/>
        <rFont val="Calibri"/>
        <family val="2"/>
      </rPr>
      <t>DNS</t>
    </r>
  </si>
  <si>
    <t>رخص أمن الشبكة</t>
  </si>
  <si>
    <t>1. دعم اتخاذ القرارات
2. تعزيز الكفاءة التشغيلية وكفاءة الإنفاق
5. تعزيز الحوكمة المؤسسية</t>
  </si>
  <si>
    <r>
      <rPr>
        <sz val="9"/>
        <color rgb="FF1F2937"/>
        <rFont val="Calibri"/>
        <family val="2"/>
      </rPr>
      <t>GAP-A-05</t>
    </r>
    <r>
      <rPr>
        <sz val="9"/>
        <color rgb="FF1F2937"/>
        <rFont val="FreeSans"/>
        <family val="2"/>
      </rPr>
      <t xml:space="preserve">، </t>
    </r>
    <r>
      <rPr>
        <sz val="9"/>
        <color rgb="FF1F2937"/>
        <rFont val="Calibri"/>
        <family val="2"/>
      </rPr>
      <t>GAP-D-29</t>
    </r>
    <r>
      <rPr>
        <sz val="9"/>
        <color rgb="FF1F2937"/>
        <rFont val="FreeSans"/>
        <family val="2"/>
      </rPr>
      <t xml:space="preserve">، </t>
    </r>
    <r>
      <rPr>
        <sz val="9"/>
        <color rgb="FF1F2937"/>
        <rFont val="Calibri"/>
        <family val="2"/>
      </rPr>
      <t>GAP-T-1</t>
    </r>
    <r>
      <rPr>
        <sz val="9"/>
        <color rgb="FF1F2937"/>
        <rFont val="FreeSans"/>
        <family val="2"/>
      </rPr>
      <t xml:space="preserve">، </t>
    </r>
    <r>
      <rPr>
        <sz val="9"/>
        <color rgb="FF1F2937"/>
        <rFont val="Calibri"/>
        <family val="2"/>
      </rPr>
      <t>GAP-T-12</t>
    </r>
    <r>
      <rPr>
        <sz val="9"/>
        <color rgb="FF1F2937"/>
        <rFont val="FreeSans"/>
        <family val="2"/>
      </rPr>
      <t xml:space="preserve">، </t>
    </r>
    <r>
      <rPr>
        <sz val="9"/>
        <color rgb="FF1F2937"/>
        <rFont val="Calibri"/>
        <family val="2"/>
      </rPr>
      <t>GAP-T-14</t>
    </r>
  </si>
  <si>
    <t>تجديد رخص المعدات الشبكية لمركز البيانات</t>
  </si>
  <si>
    <t>استمرارية دعم الأنظمة الحيوية • الحفاظ على الأمان والتحديثات • الامتثال للمتطلبات التعاقدية • رفع موثوقية البنية التحتية • دعم التوسع ومرونة الأنظمة</t>
  </si>
  <si>
    <t>البيانات و التقنية و الأمن السيبراني</t>
  </si>
  <si>
    <t>تجديد رخص ميراكي</t>
  </si>
  <si>
    <r>
      <rPr>
        <sz val="9"/>
        <color rgb="FF1F2937"/>
        <rFont val="Calibri"/>
        <family val="2"/>
      </rPr>
      <t>GAP-A-04</t>
    </r>
    <r>
      <rPr>
        <sz val="9"/>
        <color rgb="FF1F2937"/>
        <rFont val="FreeSans"/>
        <family val="2"/>
      </rPr>
      <t xml:space="preserve">، </t>
    </r>
    <r>
      <rPr>
        <sz val="9"/>
        <color rgb="FF1F2937"/>
        <rFont val="Calibri"/>
        <family val="2"/>
      </rPr>
      <t>GAP-A-06</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r>
      <rPr>
        <sz val="9"/>
        <color rgb="FF1F2937"/>
        <rFont val="FreeSans"/>
        <family val="2"/>
      </rPr>
      <t xml:space="preserve">، </t>
    </r>
    <r>
      <rPr>
        <sz val="9"/>
        <color rgb="FF1F2937"/>
        <rFont val="Calibri"/>
        <family val="2"/>
      </rPr>
      <t>GAP-T-9</t>
    </r>
    <r>
      <rPr>
        <sz val="9"/>
        <color rgb="FF1F2937"/>
        <rFont val="FreeSans"/>
        <family val="2"/>
      </rPr>
      <t xml:space="preserve">، </t>
    </r>
    <r>
      <rPr>
        <sz val="9"/>
        <color rgb="FF1F2937"/>
        <rFont val="Calibri"/>
        <family val="2"/>
      </rPr>
      <t>GAP-T-12</t>
    </r>
    <r>
      <rPr>
        <sz val="9"/>
        <color rgb="FF1F2937"/>
        <rFont val="FreeSans"/>
        <family val="2"/>
      </rPr>
      <t xml:space="preserve">، </t>
    </r>
    <r>
      <rPr>
        <sz val="9"/>
        <color rgb="FF1F2937"/>
        <rFont val="Calibri"/>
        <family val="2"/>
      </rPr>
      <t>GAP-T-15</t>
    </r>
  </si>
  <si>
    <r>
      <rPr>
        <sz val="9"/>
        <color rgb="FF1F2937"/>
        <rFont val="Calibri"/>
        <family val="2"/>
      </rPr>
      <t>BR15</t>
    </r>
    <r>
      <rPr>
        <sz val="9"/>
        <color rgb="FF1F2937"/>
        <rFont val="FreeSans"/>
        <family val="2"/>
      </rPr>
      <t xml:space="preserve">، </t>
    </r>
    <r>
      <rPr>
        <sz val="9"/>
        <color rgb="FF1F2937"/>
        <rFont val="Calibri"/>
        <family val="2"/>
      </rPr>
      <t>TR03</t>
    </r>
    <r>
      <rPr>
        <sz val="9"/>
        <color rgb="FF1F2937"/>
        <rFont val="FreeSans"/>
        <family val="2"/>
      </rPr>
      <t xml:space="preserve">، </t>
    </r>
    <r>
      <rPr>
        <sz val="9"/>
        <color rgb="FF1F2937"/>
        <rFont val="Calibri"/>
        <family val="2"/>
      </rPr>
      <t>TR04</t>
    </r>
  </si>
  <si>
    <t>تجديد رخص تشغيل شبكة المقرات المحوسبة</t>
  </si>
  <si>
    <t>ضمان استمرارية عمل الشبكات السحابية.
تحسين إدارة ومراقبة الشبكة عن بُعد.
تقليل زمن الانقطاعات عبر الرؤية الموحدة.
رفع كفاءة الأداء الشبكي المؤسسي.</t>
  </si>
  <si>
    <t>إعداد وثائق فنية وأمنية موحدة لجميع التطبيقات</t>
  </si>
  <si>
    <r>
      <rPr>
        <sz val="9"/>
        <color rgb="FF1F2937"/>
        <rFont val="FreeSans"/>
        <family val="2"/>
      </rPr>
      <t xml:space="preserve">تنفيذ خطة التحول الرقمية وتطبيقها
◂ </t>
    </r>
    <r>
      <rPr>
        <sz val="9"/>
        <color rgb="FF1F2937"/>
        <rFont val="Calibri"/>
        <family val="2"/>
      </rPr>
      <t>4. مبادرة تطوير الحلول والخدمات الرقمية</t>
    </r>
  </si>
  <si>
    <r>
      <rPr>
        <sz val="9"/>
        <color rgb="FF1F2937"/>
        <rFont val="Calibri"/>
        <family val="2"/>
      </rPr>
      <t>GAP-A-01</t>
    </r>
    <r>
      <rPr>
        <sz val="9"/>
        <color rgb="FF1F2937"/>
        <rFont val="FreeSans"/>
        <family val="2"/>
      </rPr>
      <t xml:space="preserve">، </t>
    </r>
    <r>
      <rPr>
        <sz val="9"/>
        <color rgb="FF1F2937"/>
        <rFont val="Calibri"/>
        <family val="2"/>
      </rPr>
      <t>GAP-A-02</t>
    </r>
    <r>
      <rPr>
        <sz val="9"/>
        <color rgb="FF1F2937"/>
        <rFont val="FreeSans"/>
        <family val="2"/>
      </rPr>
      <t xml:space="preserve">، </t>
    </r>
    <r>
      <rPr>
        <sz val="9"/>
        <color rgb="FF1F2937"/>
        <rFont val="Calibri"/>
        <family val="2"/>
      </rPr>
      <t>GAP-A-03</t>
    </r>
    <r>
      <rPr>
        <sz val="9"/>
        <color rgb="FF1F2937"/>
        <rFont val="FreeSans"/>
        <family val="2"/>
      </rPr>
      <t xml:space="preserve">، </t>
    </r>
    <r>
      <rPr>
        <sz val="9"/>
        <color rgb="FF1F2937"/>
        <rFont val="Calibri"/>
        <family val="2"/>
      </rPr>
      <t>GAP-A-05</t>
    </r>
    <r>
      <rPr>
        <sz val="9"/>
        <color rgb="FF1F2937"/>
        <rFont val="FreeSans"/>
        <family val="2"/>
      </rPr>
      <t xml:space="preserve">، </t>
    </r>
    <r>
      <rPr>
        <sz val="9"/>
        <color rgb="FF1F2937"/>
        <rFont val="Calibri"/>
        <family val="2"/>
      </rPr>
      <t>GAP-A-07</t>
    </r>
    <r>
      <rPr>
        <sz val="9"/>
        <color rgb="FF1F2937"/>
        <rFont val="FreeSans"/>
        <family val="2"/>
      </rPr>
      <t xml:space="preserve">، </t>
    </r>
    <r>
      <rPr>
        <sz val="9"/>
        <color rgb="FF1F2937"/>
        <rFont val="Calibri"/>
        <family val="2"/>
      </rPr>
      <t>GAP-A-08</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GAP-B-02</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GAP-B-08</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GAP-B-23</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GAP-T-5</t>
    </r>
  </si>
  <si>
    <r>
      <rPr>
        <sz val="9"/>
        <color rgb="FF1F2937"/>
        <rFont val="Calibri"/>
        <family val="2"/>
      </rPr>
      <t>AR03</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BR09</t>
    </r>
    <r>
      <rPr>
        <sz val="9"/>
        <color rgb="FF1F2937"/>
        <rFont val="FreeSans"/>
        <family val="2"/>
      </rPr>
      <t xml:space="preserve">، </t>
    </r>
    <r>
      <rPr>
        <sz val="9"/>
        <color rgb="FF1F2937"/>
        <rFont val="Calibri"/>
        <family val="2"/>
      </rPr>
      <t>TR01</t>
    </r>
  </si>
  <si>
    <r>
      <rPr>
        <sz val="9"/>
        <color rgb="FF1F2937"/>
        <rFont val="FreeSans"/>
        <family val="2"/>
      </rPr>
      <t>يهدف المشروع إلى إعداد وتوحيد الوثائق الفنية والأمنية لجميع التطبيقات المستخدمة في الهيئة، بما يشمل معمارية الأنظمة، تدفقات البيانات، آليات التحقق والتشفير، إدارة الصلاحيات، وخطط الاستجابة للحوادث، وذلك لضمان التكامل بين فرق التطوير والتشغيل والأمن السيبراني، وتعزيز الحوكمة التقنية</t>
    </r>
    <r>
      <rPr>
        <sz val="9"/>
        <color rgb="FF1F2937"/>
        <rFont val="Calibri"/>
        <family val="2"/>
      </rPr>
      <t>.</t>
    </r>
  </si>
  <si>
    <t>تعزيز الأمن السيبراني وتقليل الثغرات الناتجة عن نقص التوثيق.
تسهيل إدارة التغيير والصيانة من خلال توثيق واضح ومعتمد.
رفع جاهزية الفرق الفنية في الاستجابة للحوادث أو تدقيقات الامتثال.</t>
  </si>
  <si>
    <t>نظام توحيد وأتمتة الأرشفة طويلة الأجل</t>
  </si>
  <si>
    <t>1. الامتثال للسياسات ذات العلاقة بمجال البيانات والتحول الرقمي الناشئ من أنظمة الهيئة وخدماتها، ومع تعزيز الاستفادة من البيانات والأنظمة لدعم أعمال الهيئة
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t>
  </si>
  <si>
    <r>
      <rPr>
        <sz val="9"/>
        <color rgb="FF1F2937"/>
        <rFont val="Calibri"/>
        <family val="2"/>
      </rPr>
      <t>GAP-B-01</t>
    </r>
    <r>
      <rPr>
        <sz val="9"/>
        <color rgb="FF1F2937"/>
        <rFont val="FreeSans"/>
        <family val="2"/>
      </rPr>
      <t xml:space="preserve">، </t>
    </r>
    <r>
      <rPr>
        <sz val="9"/>
        <color rgb="FF1F2937"/>
        <rFont val="Calibri"/>
        <family val="2"/>
      </rPr>
      <t>GAP-B-08</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r>
      <rPr>
        <sz val="9"/>
        <color rgb="FF1F2937"/>
        <rFont val="FreeSans"/>
        <family val="2"/>
      </rPr>
      <t xml:space="preserve">، </t>
    </r>
    <r>
      <rPr>
        <sz val="9"/>
        <color rgb="FF1F2937"/>
        <rFont val="Calibri"/>
        <family val="2"/>
      </rPr>
      <t>GAP-D-16</t>
    </r>
    <r>
      <rPr>
        <sz val="9"/>
        <color rgb="FF1F2937"/>
        <rFont val="FreeSans"/>
        <family val="2"/>
      </rPr>
      <t xml:space="preserve">، </t>
    </r>
    <r>
      <rPr>
        <sz val="9"/>
        <color rgb="FF1F2937"/>
        <rFont val="Calibri"/>
        <family val="2"/>
      </rPr>
      <t>GAP-D-27</t>
    </r>
  </si>
  <si>
    <r>
      <rPr>
        <sz val="9"/>
        <color rgb="FF1F2937"/>
        <rFont val="Calibri"/>
        <family val="2"/>
      </rPr>
      <t>AR04</t>
    </r>
    <r>
      <rPr>
        <sz val="9"/>
        <color rgb="FF1F2937"/>
        <rFont val="FreeSans"/>
        <family val="2"/>
      </rPr>
      <t xml:space="preserve">، </t>
    </r>
    <r>
      <rPr>
        <sz val="9"/>
        <color rgb="FF1F2937"/>
        <rFont val="Calibri"/>
        <family val="2"/>
      </rPr>
      <t>AR19</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BR19</t>
    </r>
    <r>
      <rPr>
        <sz val="9"/>
        <color rgb="FF1F2937"/>
        <rFont val="FreeSans"/>
        <family val="2"/>
      </rPr>
      <t xml:space="preserve">، </t>
    </r>
    <r>
      <rPr>
        <sz val="9"/>
        <color rgb="FF1F2937"/>
        <rFont val="Calibri"/>
        <family val="2"/>
      </rPr>
      <t>TR03</t>
    </r>
  </si>
  <si>
    <r>
      <rPr>
        <sz val="9"/>
        <color rgb="FF1F2937"/>
        <rFont val="FreeSans"/>
        <family val="2"/>
      </rPr>
      <t>يهدف المشروع إلى إنشاء نظام موحد ومؤتمت لأرشفة البيانات طويلة الأجل، يُعنى بتجميع الوثائق والبيانات النهائية من مختلف الأنظمة والأقسام، وتصنيفها وفق معايير الأرشفة الرقمية، مع ضمان حمايتها، سهولة الوصول إليها، وامتثالها للسياسات الوطنية ومعايير إدارة السجلات</t>
    </r>
    <r>
      <rPr>
        <sz val="9"/>
        <color rgb="FF1F2937"/>
        <rFont val="Calibri"/>
        <family val="2"/>
      </rPr>
      <t>.</t>
    </r>
  </si>
  <si>
    <t>ضمان حفظ البيانات الحيوية بطريقة آمنة ومنظمة على المدى الطويل.
تقليل الاعتماد على الأرشفة اليدوية وتقليل الأخطاء البشرية.
تحسين استرجاع البيانات المؤرشفة عند الطلب وتسهيل الامتثال التنظيمي.</t>
  </si>
  <si>
    <r>
      <rPr>
        <sz val="9"/>
        <color rgb="FF1F2937"/>
        <rFont val="FreeSans"/>
        <family val="2"/>
      </rPr>
      <t>رأسمالي</t>
    </r>
    <r>
      <rPr>
        <sz val="9"/>
        <color rgb="FF1F2937"/>
        <rFont val="Calibri"/>
        <family val="2"/>
      </rPr>
      <t>/</t>
    </r>
    <r>
      <rPr>
        <sz val="9"/>
        <color rgb="FF1F2937"/>
        <rFont val="FreeSans"/>
        <family val="2"/>
      </rPr>
      <t>تشغيلي</t>
    </r>
  </si>
  <si>
    <r>
      <rPr>
        <sz val="9"/>
        <color rgb="FF1F2937"/>
        <rFont val="FreeSans"/>
        <family val="2"/>
      </rPr>
      <t xml:space="preserve">تفعيل </t>
    </r>
    <r>
      <rPr>
        <sz val="9"/>
        <color rgb="FF1F2937"/>
        <rFont val="Calibri"/>
        <family val="2"/>
      </rPr>
      <t xml:space="preserve">SDN </t>
    </r>
    <r>
      <rPr>
        <sz val="9"/>
        <color rgb="FF1F2937"/>
        <rFont val="FreeSans"/>
        <family val="2"/>
      </rPr>
      <t>للتحكم الذكي بالشبكات</t>
    </r>
  </si>
  <si>
    <r>
      <rPr>
        <sz val="9"/>
        <color rgb="FF1F2937"/>
        <rFont val="Calibri"/>
        <family val="2"/>
      </rPr>
      <t>GAP-A-06</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GAP-T-4</t>
    </r>
    <r>
      <rPr>
        <sz val="9"/>
        <color rgb="FF1F2937"/>
        <rFont val="FreeSans"/>
        <family val="2"/>
      </rPr>
      <t xml:space="preserve">، </t>
    </r>
    <r>
      <rPr>
        <sz val="9"/>
        <color rgb="FF1F2937"/>
        <rFont val="Calibri"/>
        <family val="2"/>
      </rPr>
      <t>GAP-T-6</t>
    </r>
    <r>
      <rPr>
        <sz val="9"/>
        <color rgb="FF1F2937"/>
        <rFont val="FreeSans"/>
        <family val="2"/>
      </rPr>
      <t xml:space="preserve">، </t>
    </r>
    <r>
      <rPr>
        <sz val="9"/>
        <color rgb="FF1F2937"/>
        <rFont val="Calibri"/>
        <family val="2"/>
      </rPr>
      <t>GAP-T-11</t>
    </r>
    <r>
      <rPr>
        <sz val="9"/>
        <color rgb="FF1F2937"/>
        <rFont val="FreeSans"/>
        <family val="2"/>
      </rPr>
      <t xml:space="preserve">، </t>
    </r>
    <r>
      <rPr>
        <sz val="9"/>
        <color rgb="FF1F2937"/>
        <rFont val="Calibri"/>
        <family val="2"/>
      </rPr>
      <t>GAP-T-17</t>
    </r>
  </si>
  <si>
    <r>
      <rPr>
        <sz val="9"/>
        <color rgb="FF1F2937"/>
        <rFont val="Calibri"/>
        <family val="2"/>
      </rPr>
      <t>BR19</t>
    </r>
    <r>
      <rPr>
        <sz val="9"/>
        <color rgb="FF1F2937"/>
        <rFont val="FreeSans"/>
        <family val="2"/>
      </rPr>
      <t xml:space="preserve">، </t>
    </r>
    <r>
      <rPr>
        <sz val="9"/>
        <color rgb="FF1F2937"/>
        <rFont val="Calibri"/>
        <family val="2"/>
      </rPr>
      <t>TR04</t>
    </r>
  </si>
  <si>
    <r>
      <rPr>
        <sz val="9"/>
        <color rgb="FF1F2937"/>
        <rFont val="FreeSans"/>
        <family val="2"/>
      </rPr>
      <t xml:space="preserve">يهدف المشروع إلى تفعيل تقنية الشبكات المعرفة بالبرمجيات </t>
    </r>
    <r>
      <rPr>
        <sz val="9"/>
        <color rgb="FF1F2937"/>
        <rFont val="Calibri"/>
        <family val="2"/>
      </rPr>
      <t xml:space="preserve">(SDN) </t>
    </r>
    <r>
      <rPr>
        <sz val="9"/>
        <color rgb="FF1F2937"/>
        <rFont val="FreeSans"/>
        <family val="2"/>
      </rPr>
      <t>لتمكين التحكم المركزي والذكي في الشبكة عبر برمجيات قابلة للتكوين الديناميكي، مما يتيح مراقبة الشبكة، توزيع الأحمال، وتطبيق السياسات بشكل لحظي بناءً على متطلبات الأداء والأمان، دون الحاجة لتعديلات يدوية على الأجهزة الشبكية</t>
    </r>
    <r>
      <rPr>
        <sz val="9"/>
        <color rgb="FF1F2937"/>
        <rFont val="Calibri"/>
        <family val="2"/>
      </rPr>
      <t>.</t>
    </r>
  </si>
  <si>
    <t>تحسين إدارة الشبكة والتوزيع الذكي للموارد بشكل مركزي.
تسريع الاستجابة للأعطال وتغيير السياسات بدون تدخل يدوي.
رفع مرونة الشبكة لمواكبة التوسع والتحديثات التقنية.</t>
  </si>
  <si>
    <t>تطبيق نظام إدارة التكوين التلقائي</t>
  </si>
  <si>
    <r>
      <rPr>
        <sz val="9"/>
        <color rgb="FF1F2937"/>
        <rFont val="Calibri"/>
        <family val="2"/>
      </rPr>
      <t>GAP-B-01</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GAP-D-14</t>
    </r>
    <r>
      <rPr>
        <sz val="9"/>
        <color rgb="FF1F2937"/>
        <rFont val="FreeSans"/>
        <family val="2"/>
      </rPr>
      <t xml:space="preserve">، </t>
    </r>
    <r>
      <rPr>
        <sz val="9"/>
        <color rgb="FF1F2937"/>
        <rFont val="Calibri"/>
        <family val="2"/>
      </rPr>
      <t>GAP-D-22</t>
    </r>
    <r>
      <rPr>
        <sz val="9"/>
        <color rgb="FF1F2937"/>
        <rFont val="FreeSans"/>
        <family val="2"/>
      </rPr>
      <t xml:space="preserve">، </t>
    </r>
    <r>
      <rPr>
        <sz val="9"/>
        <color rgb="FF1F2937"/>
        <rFont val="Calibri"/>
        <family val="2"/>
      </rPr>
      <t>GAP-D-28</t>
    </r>
    <r>
      <rPr>
        <sz val="9"/>
        <color rgb="FF1F2937"/>
        <rFont val="FreeSans"/>
        <family val="2"/>
      </rPr>
      <t xml:space="preserve">، </t>
    </r>
    <r>
      <rPr>
        <sz val="9"/>
        <color rgb="FF1F2937"/>
        <rFont val="Calibri"/>
        <family val="2"/>
      </rPr>
      <t>GAP-D-29</t>
    </r>
    <r>
      <rPr>
        <sz val="9"/>
        <color rgb="FF1F2937"/>
        <rFont val="FreeSans"/>
        <family val="2"/>
      </rPr>
      <t xml:space="preserve">، </t>
    </r>
    <r>
      <rPr>
        <sz val="9"/>
        <color rgb="FF1F2937"/>
        <rFont val="Calibri"/>
        <family val="2"/>
      </rPr>
      <t>GAP-T-13</t>
    </r>
    <r>
      <rPr>
        <sz val="9"/>
        <color rgb="FF1F2937"/>
        <rFont val="FreeSans"/>
        <family val="2"/>
      </rPr>
      <t xml:space="preserve">، </t>
    </r>
    <r>
      <rPr>
        <sz val="9"/>
        <color rgb="FF1F2937"/>
        <rFont val="Calibri"/>
        <family val="2"/>
      </rPr>
      <t>GAP-T-14</t>
    </r>
    <r>
      <rPr>
        <sz val="9"/>
        <color rgb="FF1F2937"/>
        <rFont val="FreeSans"/>
        <family val="2"/>
      </rPr>
      <t xml:space="preserve">، </t>
    </r>
    <r>
      <rPr>
        <sz val="9"/>
        <color rgb="FF1F2937"/>
        <rFont val="Calibri"/>
        <family val="2"/>
      </rPr>
      <t>GAP-T-20</t>
    </r>
  </si>
  <si>
    <r>
      <rPr>
        <sz val="9"/>
        <color rgb="FF1F2937"/>
        <rFont val="FreeSans"/>
        <family val="2"/>
      </rPr>
      <t>يهدف المشروع إلى تطبيق نظام إدارة التكوين التلقائي لتمكين أتمتة عمليات إعداد ونشر ومتابعة إعدادات الأنظمة التقنية، بما يشمل الخوادم، الشبكات، قواعد البيانات، والأنظمة التشغيلية، مع تقليل التدخل اليدوي وتحقيق التوافق بين بيئات التشغيل المختلفة وتحسين استجابة التغييرات التقنية</t>
    </r>
    <r>
      <rPr>
        <sz val="9"/>
        <color rgb="FF1F2937"/>
        <rFont val="Calibri"/>
        <family val="2"/>
      </rPr>
      <t>.</t>
    </r>
  </si>
  <si>
    <t>تسريع عمليات النشر والتحديث عبر أتمتة خطوات الإعداد والتكوين.
تقليل الأخطاء البشرية وتحقيق اتساق في الإعدادات بين البيئات.
تحسين الاستجابة للأعطال والتغييرات عبر إدارة مركزية مرنة وقابلة للتتبع.</t>
  </si>
  <si>
    <t>• تطوير نظامي إدارة استكشاف الأصول التقنية والأجهزة الطرفية
•  رفع مستوى نضج تطبيق ممارسات إدارة البيانات
• إنشاء نظام مركزي لأتمتة إدارة المشاريع وقياس الأداء المؤسسي</t>
  </si>
  <si>
    <t>تطوير خطة شاملة لإدارة البيانات والذكاء الاصطناعي تغطي الحوكمة والهندسة والجودة</t>
  </si>
  <si>
    <r>
      <rPr>
        <sz val="9"/>
        <color rgb="FF1F2937"/>
        <rFont val="FreeSans"/>
        <family val="2"/>
      </rPr>
      <t xml:space="preserve">إعداد خطة للبيانات والذكاء الاصطناعي تشمل جميع جوانب البيانات والذكاء الاصطناعي مثل الحوكمة والهندسة والجودة وما إلى ذلك…
◂ </t>
    </r>
    <r>
      <rPr>
        <sz val="9"/>
        <color rgb="FF1F2937"/>
        <rFont val="Calibri"/>
        <family val="2"/>
      </rPr>
      <t>1. مبادرة الذكاء الاصطناعي والتحليلات المتقدمة</t>
    </r>
  </si>
  <si>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GAP-B-02</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GAP-D-01</t>
    </r>
    <r>
      <rPr>
        <sz val="9"/>
        <color rgb="FF1F2937"/>
        <rFont val="FreeSans"/>
        <family val="2"/>
      </rPr>
      <t xml:space="preserve">، </t>
    </r>
    <r>
      <rPr>
        <sz val="9"/>
        <color rgb="FF1F2937"/>
        <rFont val="Calibri"/>
        <family val="2"/>
      </rPr>
      <t>GAP-D-02</t>
    </r>
    <r>
      <rPr>
        <sz val="9"/>
        <color rgb="FF1F2937"/>
        <rFont val="FreeSans"/>
        <family val="2"/>
      </rPr>
      <t xml:space="preserve">، </t>
    </r>
    <r>
      <rPr>
        <sz val="9"/>
        <color rgb="FF1F2937"/>
        <rFont val="Calibri"/>
        <family val="2"/>
      </rPr>
      <t>GAP-D-06</t>
    </r>
    <r>
      <rPr>
        <sz val="9"/>
        <color rgb="FF1F2937"/>
        <rFont val="FreeSans"/>
        <family val="2"/>
      </rPr>
      <t xml:space="preserve">، </t>
    </r>
    <r>
      <rPr>
        <sz val="9"/>
        <color rgb="FF1F2937"/>
        <rFont val="Calibri"/>
        <family val="2"/>
      </rPr>
      <t>GAP-D-13</t>
    </r>
    <r>
      <rPr>
        <sz val="9"/>
        <color rgb="FF1F2937"/>
        <rFont val="FreeSans"/>
        <family val="2"/>
      </rPr>
      <t xml:space="preserve">، </t>
    </r>
    <r>
      <rPr>
        <sz val="9"/>
        <color rgb="FF1F2937"/>
        <rFont val="Calibri"/>
        <family val="2"/>
      </rPr>
      <t>GAP-D-24</t>
    </r>
    <r>
      <rPr>
        <sz val="9"/>
        <color rgb="FF1F2937"/>
        <rFont val="FreeSans"/>
        <family val="2"/>
      </rPr>
      <t xml:space="preserve">، </t>
    </r>
    <r>
      <rPr>
        <sz val="9"/>
        <color rgb="FF1F2937"/>
        <rFont val="Calibri"/>
        <family val="2"/>
      </rPr>
      <t>GAP-D-25</t>
    </r>
    <r>
      <rPr>
        <sz val="9"/>
        <color rgb="FF1F2937"/>
        <rFont val="FreeSans"/>
        <family val="2"/>
      </rPr>
      <t xml:space="preserve">، </t>
    </r>
    <r>
      <rPr>
        <sz val="9"/>
        <color rgb="FF1F2937"/>
        <rFont val="Calibri"/>
        <family val="2"/>
      </rPr>
      <t>GAP-D-26</t>
    </r>
    <r>
      <rPr>
        <sz val="9"/>
        <color rgb="FF1F2937"/>
        <rFont val="FreeSans"/>
        <family val="2"/>
      </rPr>
      <t xml:space="preserve">، </t>
    </r>
    <r>
      <rPr>
        <sz val="9"/>
        <color rgb="FF1F2937"/>
        <rFont val="Calibri"/>
        <family val="2"/>
      </rPr>
      <t>GAP-D-30</t>
    </r>
    <r>
      <rPr>
        <sz val="9"/>
        <color rgb="FF1F2937"/>
        <rFont val="FreeSans"/>
        <family val="2"/>
      </rPr>
      <t xml:space="preserve">، </t>
    </r>
    <r>
      <rPr>
        <sz val="9"/>
        <color rgb="FF1F2937"/>
        <rFont val="Calibri"/>
        <family val="2"/>
      </rPr>
      <t>GAP-D-31</t>
    </r>
  </si>
  <si>
    <r>
      <rPr>
        <sz val="9"/>
        <color rgb="FF1F2937"/>
        <rFont val="Calibri"/>
        <family val="2"/>
      </rPr>
      <t>AR05</t>
    </r>
    <r>
      <rPr>
        <sz val="9"/>
        <color rgb="FF1F2937"/>
        <rFont val="FreeSans"/>
        <family val="2"/>
      </rPr>
      <t xml:space="preserve">، </t>
    </r>
    <r>
      <rPr>
        <sz val="9"/>
        <color rgb="FF1F2937"/>
        <rFont val="Calibri"/>
        <family val="2"/>
      </rPr>
      <t>AR17</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DR01</t>
    </r>
  </si>
  <si>
    <r>
      <rPr>
        <sz val="9"/>
        <color rgb="FF1F2937"/>
        <rFont val="FreeSans"/>
        <family val="2"/>
      </rPr>
      <t>يهدف المشروع إلى تطوير خطة استراتيجية شاملة لإدارة البيانات وتفعيل الذكاء الاصطناعي داخل الهيئة، تغطي الجوانب الأساسية مثل</t>
    </r>
    <r>
      <rPr>
        <sz val="9"/>
        <color rgb="FF1F2937"/>
        <rFont val="Calibri"/>
        <family val="2"/>
      </rPr>
      <t xml:space="preserve">: </t>
    </r>
    <r>
      <rPr>
        <sz val="9"/>
        <color rgb="FF1F2937"/>
        <rFont val="FreeSans"/>
        <family val="2"/>
      </rPr>
      <t>حوكمة البيانات، هندستها، جودة البيانات، الأمان، التكامل، إدارة البيانات الرئيسية والوصفية، بالإضافة إلى خارطة طريق لاستخدامات الذكاء الاصطناعي في تحسين الخدمات والعمليات، بما يتوافق مع المعايير الوطنية والدولية</t>
    </r>
    <r>
      <rPr>
        <sz val="9"/>
        <color rgb="FF1F2937"/>
        <rFont val="Calibri"/>
        <family val="2"/>
      </rPr>
      <t>.</t>
    </r>
  </si>
  <si>
    <t>توحيد الرؤية المؤسسية في إدارة البيانات وتفعيل الذكاء الاصطناعي.
تمكين المبادرات المستقبلية بالاعتماد على بيانات مؤسسية ذات جودة عالية.
رفع جاهزية الهيئة لاستخدام تقنيات التحليل المتقدم واتخاذ القرار الذكي.</t>
  </si>
  <si>
    <t>تطوير وتحسين نماذج هيكلة البيانات</t>
  </si>
  <si>
    <r>
      <rPr>
        <sz val="9"/>
        <color rgb="FF1F2937"/>
        <rFont val="FreeSans"/>
        <family val="2"/>
      </rPr>
      <t xml:space="preserve">تطوير وتحسين نماذج هيكلة البيانات
◂ </t>
    </r>
    <r>
      <rPr>
        <sz val="9"/>
        <color rgb="FF1F2937"/>
        <rFont val="Calibri"/>
        <family val="2"/>
      </rPr>
      <t>1. مبادرة الذكاء الاصطناعي والتحليلات المتقدمة</t>
    </r>
  </si>
  <si>
    <r>
      <rPr>
        <sz val="9"/>
        <color rgb="FF1F2937"/>
        <rFont val="Calibri"/>
        <family val="2"/>
      </rPr>
      <t>GAP-A-01</t>
    </r>
    <r>
      <rPr>
        <sz val="9"/>
        <color rgb="FF1F2937"/>
        <rFont val="FreeSans"/>
        <family val="2"/>
      </rPr>
      <t xml:space="preserve">، </t>
    </r>
    <r>
      <rPr>
        <sz val="9"/>
        <color rgb="FF1F2937"/>
        <rFont val="Calibri"/>
        <family val="2"/>
      </rPr>
      <t>GAP-A-02</t>
    </r>
    <r>
      <rPr>
        <sz val="9"/>
        <color rgb="FF1F2937"/>
        <rFont val="FreeSans"/>
        <family val="2"/>
      </rPr>
      <t xml:space="preserve">، </t>
    </r>
    <r>
      <rPr>
        <sz val="9"/>
        <color rgb="FF1F2937"/>
        <rFont val="Calibri"/>
        <family val="2"/>
      </rPr>
      <t>GAP-A-03</t>
    </r>
    <r>
      <rPr>
        <sz val="9"/>
        <color rgb="FF1F2937"/>
        <rFont val="FreeSans"/>
        <family val="2"/>
      </rPr>
      <t xml:space="preserve">، </t>
    </r>
    <r>
      <rPr>
        <sz val="9"/>
        <color rgb="FF1F2937"/>
        <rFont val="Calibri"/>
        <family val="2"/>
      </rPr>
      <t>GAP-A-08</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GAP-B-02</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GAP-B-08</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GAP-D-01</t>
    </r>
    <r>
      <rPr>
        <sz val="9"/>
        <color rgb="FF1F2937"/>
        <rFont val="FreeSans"/>
        <family val="2"/>
      </rPr>
      <t xml:space="preserve">، </t>
    </r>
    <r>
      <rPr>
        <sz val="9"/>
        <color rgb="FF1F2937"/>
        <rFont val="Calibri"/>
        <family val="2"/>
      </rPr>
      <t>GAP-D-06</t>
    </r>
    <r>
      <rPr>
        <sz val="9"/>
        <color rgb="FF1F2937"/>
        <rFont val="FreeSans"/>
        <family val="2"/>
      </rPr>
      <t xml:space="preserve">، </t>
    </r>
    <r>
      <rPr>
        <sz val="9"/>
        <color rgb="FF1F2937"/>
        <rFont val="Calibri"/>
        <family val="2"/>
      </rPr>
      <t>GAP-D-14</t>
    </r>
    <r>
      <rPr>
        <sz val="9"/>
        <color rgb="FF1F2937"/>
        <rFont val="FreeSans"/>
        <family val="2"/>
      </rPr>
      <t xml:space="preserve">، </t>
    </r>
    <r>
      <rPr>
        <sz val="9"/>
        <color rgb="FF1F2937"/>
        <rFont val="Calibri"/>
        <family val="2"/>
      </rPr>
      <t>GAP-D-22</t>
    </r>
    <r>
      <rPr>
        <sz val="9"/>
        <color rgb="FF1F2937"/>
        <rFont val="FreeSans"/>
        <family val="2"/>
      </rPr>
      <t xml:space="preserve">، </t>
    </r>
    <r>
      <rPr>
        <sz val="9"/>
        <color rgb="FF1F2937"/>
        <rFont val="Calibri"/>
        <family val="2"/>
      </rPr>
      <t>GAP-D-26</t>
    </r>
    <r>
      <rPr>
        <sz val="9"/>
        <color rgb="FF1F2937"/>
        <rFont val="FreeSans"/>
        <family val="2"/>
      </rPr>
      <t xml:space="preserve">، </t>
    </r>
    <r>
      <rPr>
        <sz val="9"/>
        <color rgb="FF1F2937"/>
        <rFont val="Calibri"/>
        <family val="2"/>
      </rPr>
      <t>GAP-D-28</t>
    </r>
    <r>
      <rPr>
        <sz val="9"/>
        <color rgb="FF1F2937"/>
        <rFont val="FreeSans"/>
        <family val="2"/>
      </rPr>
      <t xml:space="preserve">، </t>
    </r>
    <r>
      <rPr>
        <sz val="9"/>
        <color rgb="FF1F2937"/>
        <rFont val="Calibri"/>
        <family val="2"/>
      </rPr>
      <t>GAP-D-31</t>
    </r>
  </si>
  <si>
    <r>
      <rPr>
        <sz val="9"/>
        <color rgb="FF1F2937"/>
        <rFont val="Calibri"/>
        <family val="2"/>
      </rPr>
      <t>AR17</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DR01</t>
    </r>
  </si>
  <si>
    <r>
      <rPr>
        <sz val="9"/>
        <color rgb="FF1F2937"/>
        <rFont val="FreeSans"/>
        <family val="2"/>
      </rPr>
      <t>يهدف المشروع إلى تطوير نماذج مفاهيمية ومنطقية وفيزيائية شاملة لهيكلة البيانات، بما يتماشى مع متطلبات الأتمتة والتكامل بين الأنظمة، ويضمن اتساق البيانات ومرجعيتها</t>
    </r>
    <r>
      <rPr>
        <sz val="9"/>
        <color rgb="FF1F2937"/>
        <rFont val="Calibri"/>
        <family val="2"/>
      </rPr>
      <t xml:space="preserve">. </t>
    </r>
    <r>
      <rPr>
        <sz val="9"/>
        <color rgb="FF1F2937"/>
        <rFont val="FreeSans"/>
        <family val="2"/>
      </rPr>
      <t>يشمل ذلك توثيق الكيانات والعلاقات، تعزيز جودة النماذج، وربطها بخطط الحوكمة والهندسة المؤسسية لتمكين التحليل والذكاء المؤسسي</t>
    </r>
    <r>
      <rPr>
        <sz val="9"/>
        <color rgb="FF1F2937"/>
        <rFont val="Calibri"/>
        <family val="2"/>
      </rPr>
      <t>.</t>
    </r>
  </si>
  <si>
    <t>تحقيق التكامل الفعال بين الأنظمة وقواعد البيانات المختلفة.
تحسين جودة البيانات عبر نماذج موحدة وواضحة.
تمكين التحليل المتقدم والاستخدام الذكي للبيانات.</t>
  </si>
  <si>
    <t>• تطوير خطة شاملة لإدارة البيانات والذكاء الاصطناعي تغطي الحوكمة والهندسة والجودة
• تطوير منصة تكامل البيانات وانشاء مستودع البيانات المركزي
• توثيق وتطوير خدمات الأعمال وتحسين تجربة المستفيد</t>
  </si>
  <si>
    <t>توحيد منهجية تشغيل وصيانة الخوادم وربطها بالأصول</t>
  </si>
  <si>
    <t>1. الامتثال للسياسات ذات العلاقة بمجال البيانات والتحول الرقمي الناشئ من أنظمة الهيئة وخدماتها، ومع تعزيز الاستفادة من البيانات والأنظمة لدعم أعمال الهيئة
2. تمكين التكامل التقني مع الجهات الحكومية ذات العلاقة عبر قنوات البيانات الوطنية، لتبادل البيانات وتقديم خدمات موحدة ومترابطة للمستفيدين
6. تنظيم الاستفادة من البنية التحتية التقنية بما يضمن استمرارية الأعمال وحوكمة الكفاءة التشغيلية</t>
  </si>
  <si>
    <r>
      <rPr>
        <sz val="9"/>
        <color rgb="FF1F2937"/>
        <rFont val="Calibri"/>
        <family val="2"/>
      </rPr>
      <t>GAP-A-01</t>
    </r>
    <r>
      <rPr>
        <sz val="9"/>
        <color rgb="FF1F2937"/>
        <rFont val="FreeSans"/>
        <family val="2"/>
      </rPr>
      <t xml:space="preserve">، </t>
    </r>
    <r>
      <rPr>
        <sz val="9"/>
        <color rgb="FF1F2937"/>
        <rFont val="Calibri"/>
        <family val="2"/>
      </rPr>
      <t>GAP-A-02</t>
    </r>
    <r>
      <rPr>
        <sz val="9"/>
        <color rgb="FF1F2937"/>
        <rFont val="FreeSans"/>
        <family val="2"/>
      </rPr>
      <t xml:space="preserve">، </t>
    </r>
    <r>
      <rPr>
        <sz val="9"/>
        <color rgb="FF1F2937"/>
        <rFont val="Calibri"/>
        <family val="2"/>
      </rPr>
      <t>GAP-A-03</t>
    </r>
    <r>
      <rPr>
        <sz val="9"/>
        <color rgb="FF1F2937"/>
        <rFont val="FreeSans"/>
        <family val="2"/>
      </rPr>
      <t xml:space="preserve">، </t>
    </r>
    <r>
      <rPr>
        <sz val="9"/>
        <color rgb="FF1F2937"/>
        <rFont val="Calibri"/>
        <family val="2"/>
      </rPr>
      <t>GAP-A-08</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GAP-B-02</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GAP-B-08</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GAP-T-13</t>
    </r>
    <r>
      <rPr>
        <sz val="9"/>
        <color rgb="FF1F2937"/>
        <rFont val="FreeSans"/>
        <family val="2"/>
      </rPr>
      <t xml:space="preserve">، </t>
    </r>
    <r>
      <rPr>
        <sz val="9"/>
        <color rgb="FF1F2937"/>
        <rFont val="Calibri"/>
        <family val="2"/>
      </rPr>
      <t>GAP-T-14</t>
    </r>
  </si>
  <si>
    <r>
      <rPr>
        <sz val="9"/>
        <color rgb="FF1F2937"/>
        <rFont val="Calibri"/>
        <family val="2"/>
      </rPr>
      <t>AR07</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BR18</t>
    </r>
  </si>
  <si>
    <r>
      <rPr>
        <sz val="9"/>
        <color rgb="FF1F2937"/>
        <rFont val="FreeSans"/>
        <family val="2"/>
      </rPr>
      <t>مشروع يهدف إلى وضع سياسة تقنية وتنفيذية شاملة لإدارة دورة حياة الخوادم، تشمل</t>
    </r>
    <r>
      <rPr>
        <sz val="9"/>
        <color rgb="FF1F2937"/>
        <rFont val="Calibri"/>
        <family val="2"/>
      </rPr>
      <t xml:space="preserve">: </t>
    </r>
    <r>
      <rPr>
        <sz val="9"/>
        <color rgb="FF1F2937"/>
        <rFont val="FreeSans"/>
        <family val="2"/>
      </rPr>
      <t>التقييم، التحديث، الاستبدال، والتخلص الآمن، إضافة إلى توثيق تواريخ الصيانة والانتهاء، وربطها بأنظمة إدارة الأصول والبنية التحتية</t>
    </r>
    <r>
      <rPr>
        <sz val="9"/>
        <color rgb="FF1F2937"/>
        <rFont val="Calibri"/>
        <family val="2"/>
      </rPr>
      <t>.</t>
    </r>
  </si>
  <si>
    <t>تنظيم وإدارة دورة حياة الخوادم من خلال سياسة واضحة تغطي التقييم، التحديث، الاستبدال، والتخلص الآمن.
تعزيز تكامل الخوادم مع أنظمة إدارة الأصول والبنية التحتية لضمان دقة المعلومات وكفاءة المتابعة.
رفع كفاءة الصيانة والتشغيل من خلال توثيق التواريخ الحاسمة مثل تواريخ الصيانة والانتهاء.
تحسين الحوكمة التقنية وتقليل المخاطر التشغيلية عبر التخلص المنظم والآمن من الخوادم غير الفعالة أو المنتهية الصلاحية.</t>
  </si>
  <si>
    <t>إنشاء نظام مركزي لأتمتة إدارة المشاريع وقياس الأداء المؤسسي</t>
  </si>
  <si>
    <r>
      <rPr>
        <sz val="9"/>
        <color rgb="FF1F2937"/>
        <rFont val="FreeSans"/>
        <family val="2"/>
      </rPr>
      <t xml:space="preserve">رفع الكفاءة التشغيلية من خلال الرقمنة
◂ </t>
    </r>
    <r>
      <rPr>
        <sz val="9"/>
        <color rgb="FF1F2937"/>
        <rFont val="Calibri"/>
        <family val="2"/>
      </rPr>
      <t>6. مبادرة التمكين الرقمي</t>
    </r>
  </si>
  <si>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GAP-B-02</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GAP-D-09</t>
    </r>
    <r>
      <rPr>
        <sz val="9"/>
        <color rgb="FF1F2937"/>
        <rFont val="FreeSans"/>
        <family val="2"/>
      </rPr>
      <t xml:space="preserve">، </t>
    </r>
    <r>
      <rPr>
        <sz val="9"/>
        <color rgb="FF1F2937"/>
        <rFont val="Calibri"/>
        <family val="2"/>
      </rPr>
      <t>GAP-D-15</t>
    </r>
  </si>
  <si>
    <r>
      <rPr>
        <sz val="9"/>
        <color rgb="FF1F2937"/>
        <rFont val="Calibri"/>
        <family val="2"/>
      </rPr>
      <t>AR02</t>
    </r>
    <r>
      <rPr>
        <sz val="9"/>
        <color rgb="FF1F2937"/>
        <rFont val="FreeSans"/>
        <family val="2"/>
      </rPr>
      <t xml:space="preserve">، </t>
    </r>
    <r>
      <rPr>
        <sz val="9"/>
        <color rgb="FF1F2937"/>
        <rFont val="Calibri"/>
        <family val="2"/>
      </rPr>
      <t>AR11</t>
    </r>
    <r>
      <rPr>
        <sz val="9"/>
        <color rgb="FF1F2937"/>
        <rFont val="FreeSans"/>
        <family val="2"/>
      </rPr>
      <t xml:space="preserve">، </t>
    </r>
    <r>
      <rPr>
        <sz val="9"/>
        <color rgb="FF1F2937"/>
        <rFont val="Calibri"/>
        <family val="2"/>
      </rPr>
      <t>AR12</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BR14</t>
    </r>
  </si>
  <si>
    <r>
      <rPr>
        <sz val="9"/>
        <color rgb="FF1F2937"/>
        <rFont val="FreeSans"/>
        <family val="2"/>
      </rPr>
      <t>يهدف المشروع إلى إنشاء نظام مركزي موحد لأتمتة أعمال ووظائف إدارة المشاريع وإدارة الأداء المؤسسي، بما يشمل توحيد الأدوات والمنهجيات، وتوفير لوحات مؤشرات ذكية لدعم اتخاذ القرار، ورفع كفاءة المتابعة والتقارير، وتحقيق التكامل بين مختلف الإدارات ضمن إطار حوكمة موحد</t>
    </r>
    <r>
      <rPr>
        <sz val="9"/>
        <color rgb="FF1F2937"/>
        <rFont val="Calibri"/>
        <family val="2"/>
      </rPr>
      <t>.</t>
    </r>
  </si>
  <si>
    <t>رفع كفاءة إدارة المشاريع والأداء المؤسسي من خلال أتمتة العمليات وتوحيد الأدوات والمنهجيات.
تحسين سرعة ودقة اتخاذ القرار عبر لوحات مؤشرات وتقارير ذكية وآنية.
تعزيز التكامل بين الإدارات والفرق من خلال نظام مركزي موحد يربط البيانات والإجراءات ذات العلاقة.
دعم الحوكمة المؤسسية والامتثال من خلال تتبع مؤشرات الأداء وتنفيذ المشاريع وفق معايير موثوقة.</t>
  </si>
  <si>
    <t>الإدارة العامة للتخطيط و التميز المؤسسي</t>
  </si>
  <si>
    <t>مشروع الأرشفة المؤسسية للتطبيقات الرقمية</t>
  </si>
  <si>
    <r>
      <rPr>
        <sz val="9"/>
        <color rgb="FF1F2937"/>
        <rFont val="Calibri"/>
        <family val="2"/>
      </rPr>
      <t>GAP-A-02</t>
    </r>
    <r>
      <rPr>
        <sz val="9"/>
        <color rgb="FF1F2937"/>
        <rFont val="FreeSans"/>
        <family val="2"/>
      </rPr>
      <t xml:space="preserve">، </t>
    </r>
    <r>
      <rPr>
        <sz val="9"/>
        <color rgb="FF1F2937"/>
        <rFont val="Calibri"/>
        <family val="2"/>
      </rPr>
      <t>GAP-A-03</t>
    </r>
    <r>
      <rPr>
        <sz val="9"/>
        <color rgb="FF1F2937"/>
        <rFont val="FreeSans"/>
        <family val="2"/>
      </rPr>
      <t xml:space="preserve">، </t>
    </r>
    <r>
      <rPr>
        <sz val="9"/>
        <color rgb="FF1F2937"/>
        <rFont val="Calibri"/>
        <family val="2"/>
      </rPr>
      <t>GAP-A-05</t>
    </r>
    <r>
      <rPr>
        <sz val="9"/>
        <color rgb="FF1F2937"/>
        <rFont val="FreeSans"/>
        <family val="2"/>
      </rPr>
      <t xml:space="preserve">، </t>
    </r>
    <r>
      <rPr>
        <sz val="9"/>
        <color rgb="FF1F2937"/>
        <rFont val="Calibri"/>
        <family val="2"/>
      </rPr>
      <t>GAP-A-08</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GAP-B-02</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GAP-B-08</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GAP-D-16</t>
    </r>
    <r>
      <rPr>
        <sz val="9"/>
        <color rgb="FF1F2937"/>
        <rFont val="FreeSans"/>
        <family val="2"/>
      </rPr>
      <t xml:space="preserve">، </t>
    </r>
    <r>
      <rPr>
        <sz val="9"/>
        <color rgb="FF1F2937"/>
        <rFont val="Calibri"/>
        <family val="2"/>
      </rPr>
      <t>GAP-D-27</t>
    </r>
    <r>
      <rPr>
        <sz val="9"/>
        <color rgb="FF1F2937"/>
        <rFont val="FreeSans"/>
        <family val="2"/>
      </rPr>
      <t xml:space="preserve">، </t>
    </r>
    <r>
      <rPr>
        <sz val="9"/>
        <color rgb="FF1F2937"/>
        <rFont val="Calibri"/>
        <family val="2"/>
      </rPr>
      <t>GAP-T-13</t>
    </r>
    <r>
      <rPr>
        <sz val="9"/>
        <color rgb="FF1F2937"/>
        <rFont val="FreeSans"/>
        <family val="2"/>
      </rPr>
      <t xml:space="preserve">، </t>
    </r>
    <r>
      <rPr>
        <sz val="9"/>
        <color rgb="FF1F2937"/>
        <rFont val="Calibri"/>
        <family val="2"/>
      </rPr>
      <t>GAP-T-14</t>
    </r>
  </si>
  <si>
    <r>
      <rPr>
        <sz val="9"/>
        <color rgb="FF1F2937"/>
        <rFont val="Calibri"/>
        <family val="2"/>
      </rPr>
      <t>AR19</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BR19</t>
    </r>
  </si>
  <si>
    <r>
      <rPr>
        <sz val="9"/>
        <color rgb="FF1F2937"/>
        <rFont val="FreeSans"/>
        <family val="2"/>
      </rPr>
      <t>يهدف المشروع إلى تنفيذ عملية أرشفة التطبيقات الرقمية المؤهلة، من خلال نقلها إلى بيئة أرشفة آمنة، وتوثيق بياناتها التشغيلية، وضمان حفظها وفق المعايير المؤسسية المعتمدة، بما يضمن تقليل الأعباء التقنية وتحسين كفاءة إدارة الموارد</t>
    </r>
    <r>
      <rPr>
        <sz val="9"/>
        <color rgb="FF1F2937"/>
        <rFont val="Calibri"/>
        <family val="2"/>
      </rPr>
      <t>.</t>
    </r>
  </si>
  <si>
    <t>تقليل العبء التشغيلي والتقني من خلال إخراج التطبيقات غير النشطة من بيئة الإنتاج.
تحسين إدارة الموارد التقنية عبر تحرير الخوادم وسعات التخزين المرتبطة بالتطبيقات المؤرشفة.
ضمان الحفظ الآمن والمنظم للتطبيقات وفق سياسات الأرشفة المؤسسية والمعايير الفنية.
رفع كفاءة الحوكمة التقنية من خلال توثيق البيانات التاريخية للتطبيقات وإدارتها بطريقة مركزية.</t>
  </si>
  <si>
    <t>• تعزيز جاهزية الابتكار واستدامته في البيئة الرقمية المؤسسية
• مشروع أتمتة إجراءات دخول الاختبارات في المقرات الرقميه</t>
  </si>
  <si>
    <t>تطوير منصة تكامل البيانات وانشاء مستودع البيانات المركزي</t>
  </si>
  <si>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GAP-A-10</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GAP-B-02</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GAP-D-01</t>
    </r>
    <r>
      <rPr>
        <sz val="9"/>
        <color rgb="FF1F2937"/>
        <rFont val="FreeSans"/>
        <family val="2"/>
      </rPr>
      <t xml:space="preserve">، </t>
    </r>
    <r>
      <rPr>
        <sz val="9"/>
        <color rgb="FF1F2937"/>
        <rFont val="Calibri"/>
        <family val="2"/>
      </rPr>
      <t>GAP-D-02</t>
    </r>
    <r>
      <rPr>
        <sz val="9"/>
        <color rgb="FF1F2937"/>
        <rFont val="FreeSans"/>
        <family val="2"/>
      </rPr>
      <t xml:space="preserve">، </t>
    </r>
    <r>
      <rPr>
        <sz val="9"/>
        <color rgb="FF1F2937"/>
        <rFont val="Calibri"/>
        <family val="2"/>
      </rPr>
      <t>GAP-D-04</t>
    </r>
    <r>
      <rPr>
        <sz val="9"/>
        <color rgb="FF1F2937"/>
        <rFont val="FreeSans"/>
        <family val="2"/>
      </rPr>
      <t xml:space="preserve">، </t>
    </r>
    <r>
      <rPr>
        <sz val="9"/>
        <color rgb="FF1F2937"/>
        <rFont val="Calibri"/>
        <family val="2"/>
      </rPr>
      <t>GAP-D-05</t>
    </r>
    <r>
      <rPr>
        <sz val="9"/>
        <color rgb="FF1F2937"/>
        <rFont val="FreeSans"/>
        <family val="2"/>
      </rPr>
      <t xml:space="preserve">، </t>
    </r>
    <r>
      <rPr>
        <sz val="9"/>
        <color rgb="FF1F2937"/>
        <rFont val="Calibri"/>
        <family val="2"/>
      </rPr>
      <t>GAP-D-06</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r>
      <rPr>
        <sz val="9"/>
        <color rgb="FF1F2937"/>
        <rFont val="FreeSans"/>
        <family val="2"/>
      </rPr>
      <t xml:space="preserve">، </t>
    </r>
    <r>
      <rPr>
        <sz val="9"/>
        <color rgb="FF1F2937"/>
        <rFont val="Calibri"/>
        <family val="2"/>
      </rPr>
      <t>GAP-D-24</t>
    </r>
    <r>
      <rPr>
        <sz val="9"/>
        <color rgb="FF1F2937"/>
        <rFont val="FreeSans"/>
        <family val="2"/>
      </rPr>
      <t xml:space="preserve">، </t>
    </r>
    <r>
      <rPr>
        <sz val="9"/>
        <color rgb="FF1F2937"/>
        <rFont val="Calibri"/>
        <family val="2"/>
      </rPr>
      <t>GAP-D-25</t>
    </r>
    <r>
      <rPr>
        <sz val="9"/>
        <color rgb="FF1F2937"/>
        <rFont val="FreeSans"/>
        <family val="2"/>
      </rPr>
      <t xml:space="preserve">، </t>
    </r>
    <r>
      <rPr>
        <sz val="9"/>
        <color rgb="FF1F2937"/>
        <rFont val="Calibri"/>
        <family val="2"/>
      </rPr>
      <t>GAP-D-26</t>
    </r>
    <r>
      <rPr>
        <sz val="9"/>
        <color rgb="FF1F2937"/>
        <rFont val="FreeSans"/>
        <family val="2"/>
      </rPr>
      <t xml:space="preserve">، </t>
    </r>
    <r>
      <rPr>
        <sz val="9"/>
        <color rgb="FF1F2937"/>
        <rFont val="Calibri"/>
        <family val="2"/>
      </rPr>
      <t>GAP-D-30</t>
    </r>
    <r>
      <rPr>
        <sz val="9"/>
        <color rgb="FF1F2937"/>
        <rFont val="FreeSans"/>
        <family val="2"/>
      </rPr>
      <t xml:space="preserve">، </t>
    </r>
    <r>
      <rPr>
        <sz val="9"/>
        <color rgb="FF1F2937"/>
        <rFont val="Calibri"/>
        <family val="2"/>
      </rPr>
      <t>GAP-D-31</t>
    </r>
  </si>
  <si>
    <r>
      <rPr>
        <sz val="9"/>
        <color rgb="FF1F2937"/>
        <rFont val="Calibri"/>
        <family val="2"/>
      </rPr>
      <t>AR02</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DR01</t>
    </r>
    <r>
      <rPr>
        <sz val="9"/>
        <color rgb="FF1F2937"/>
        <rFont val="FreeSans"/>
        <family val="2"/>
      </rPr>
      <t xml:space="preserve">، </t>
    </r>
    <r>
      <rPr>
        <sz val="9"/>
        <color rgb="FF1F2937"/>
        <rFont val="Calibri"/>
        <family val="2"/>
      </rPr>
      <t>TR01</t>
    </r>
  </si>
  <si>
    <r>
      <rPr>
        <sz val="9"/>
        <color rgb="FF1F2937"/>
        <rFont val="FreeSans"/>
        <family val="2"/>
      </rPr>
      <t xml:space="preserve">يهدف المشروع إلى تطوير منصة مركزية لتكامل البيانات بين الأنظمة والتطبيقات المختلفة في الهيئة، وإنشاء مستودع بيانات مركزي </t>
    </r>
    <r>
      <rPr>
        <sz val="9"/>
        <color rgb="FF1F2937"/>
        <rFont val="Calibri"/>
        <family val="2"/>
      </rPr>
      <t xml:space="preserve">(Data Warehouse) </t>
    </r>
    <r>
      <rPr>
        <sz val="9"/>
        <color rgb="FF1F2937"/>
        <rFont val="FreeSans"/>
        <family val="2"/>
      </rPr>
      <t>يدعم جمع البيانات من كافة الكيانات المؤسسية، ويُتيح استخدامها في التحليل واتخاذ القرار</t>
    </r>
    <r>
      <rPr>
        <sz val="9"/>
        <color rgb="FF1F2937"/>
        <rFont val="Calibri"/>
        <family val="2"/>
      </rPr>
      <t xml:space="preserve">. </t>
    </r>
    <r>
      <rPr>
        <sz val="9"/>
        <color rgb="FF1F2937"/>
        <rFont val="FreeSans"/>
        <family val="2"/>
      </rPr>
      <t>يشمل المشروع توحيد مصادر البيانات، وتوسيع نطاق التغطية، وتطبيق أفضل ممارسات الحوكمة والجودة لضمان دقة وموثوقية البيانات</t>
    </r>
    <r>
      <rPr>
        <sz val="9"/>
        <color rgb="FF1F2937"/>
        <rFont val="Calibri"/>
        <family val="2"/>
      </rPr>
      <t>.</t>
    </r>
  </si>
  <si>
    <t>تحقيق تكامل شامل للبيانات المؤسسية عبر منصة موحدة تربط بين جميع الأنظمة والكيانات.
توفير مستودع بيانات مركزي داعم للتحليل واتخاذ القرار من خلال تجميع وتنظيم البيانات بطريقة منهجية.
رفع جودة البيانات ودقتها وموثوقيتها عبر تطبيق آليات حوكمة البيانات ومعايير التحقق والتنظيف.
تمكين التحليلات المتقدمة والذكاء المؤسسي من خلال بنية بيانات متكاملة تدعم تقارير الأداء والتخطيط الاستراتيجي.</t>
  </si>
  <si>
    <t>تعزيز جاهزية الابتكار واستدامته في البيئة الرقمية المؤسسية</t>
  </si>
  <si>
    <r>
      <rPr>
        <sz val="9"/>
        <color rgb="FF1F2937"/>
        <rFont val="FreeSans"/>
        <family val="2"/>
      </rPr>
      <t xml:space="preserve">تنفيذ خطة التحول الرقمية وتطبيقها
◂ </t>
    </r>
    <r>
      <rPr>
        <sz val="9"/>
        <color rgb="FF1F2937"/>
        <rFont val="Calibri"/>
        <family val="2"/>
      </rPr>
      <t>6. مبادرة التمكين الرقمي</t>
    </r>
  </si>
  <si>
    <r>
      <rPr>
        <sz val="9"/>
        <color rgb="FF1F2937"/>
        <rFont val="Calibri"/>
        <family val="2"/>
      </rPr>
      <t>GAP-B-02</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</si>
  <si>
    <r>
      <rPr>
        <sz val="9"/>
        <color rgb="FF1F2937"/>
        <rFont val="Calibri"/>
        <family val="2"/>
      </rPr>
      <t>BR01</t>
    </r>
    <r>
      <rPr>
        <sz val="9"/>
        <color rgb="FF1F2937"/>
        <rFont val="FreeSans"/>
        <family val="2"/>
      </rPr>
      <t xml:space="preserve">، </t>
    </r>
    <r>
      <rPr>
        <sz val="9"/>
        <color rgb="FF1F2937"/>
        <rFont val="Calibri"/>
        <family val="2"/>
      </rPr>
      <t>BR05</t>
    </r>
    <r>
      <rPr>
        <sz val="9"/>
        <color rgb="FF1F2937"/>
        <rFont val="FreeSans"/>
        <family val="2"/>
      </rPr>
      <t xml:space="preserve">، </t>
    </r>
    <r>
      <rPr>
        <sz val="9"/>
        <color rgb="FF1F2937"/>
        <rFont val="Calibri"/>
        <family val="2"/>
      </rPr>
      <t>BR06</t>
    </r>
    <r>
      <rPr>
        <sz val="9"/>
        <color rgb="FF1F2937"/>
        <rFont val="FreeSans"/>
        <family val="2"/>
      </rPr>
      <t xml:space="preserve">، </t>
    </r>
    <r>
      <rPr>
        <sz val="9"/>
        <color rgb="FF1F2937"/>
        <rFont val="Calibri"/>
        <family val="2"/>
      </rPr>
      <t>BR07</t>
    </r>
    <r>
      <rPr>
        <sz val="9"/>
        <color rgb="FF1F2937"/>
        <rFont val="FreeSans"/>
        <family val="2"/>
      </rPr>
      <t xml:space="preserve">، </t>
    </r>
    <r>
      <rPr>
        <sz val="9"/>
        <color rgb="FF1F2937"/>
        <rFont val="Calibri"/>
        <family val="2"/>
      </rPr>
      <t>DR01</t>
    </r>
  </si>
  <si>
    <r>
      <rPr>
        <sz val="9"/>
        <color rgb="FF1F2937"/>
        <rFont val="FreeSans"/>
        <family val="2"/>
      </rPr>
      <t>يهدف المشروع إلى تطوير بيئة مؤسسية ممكنة للابتكار في مجال التحول الرقمي، من خلال بناء أطر الحوكمة والممارسات الابتكارية، وتفعيل أدوات ومنصات تمكّن الجهات من تبني الأفكار المبتكرة، وتحويلها إلى مبادرات رقمية قابلة للتنفيذ، بما يضمن استدامة الابتكار وتحقيق أثر ملموس في خدمات الحكومة الرقمية</t>
    </r>
    <r>
      <rPr>
        <sz val="9"/>
        <color rgb="FF1F2937"/>
        <rFont val="Calibri"/>
        <family val="2"/>
      </rPr>
      <t>.</t>
    </r>
  </si>
  <si>
    <r>
      <rPr>
        <sz val="9"/>
        <color rgb="FF1F2937"/>
        <rFont val="FreeSans"/>
        <family val="2"/>
      </rPr>
      <t>رفع جاهزية الجهة لتبني الابتكار الرقمي من خلال تطوير السياسات والأطر التنظيمية الداعمة للابتكار في سياق الحكومة الرقمية.
تحفيز وتفعيل البيئة الابتكارية المؤسسية عبر إنشاء منصات ومختبرات لتوليد الأفكار وتحويلها إلى مبادرات رقمية قابلة للتنفيذ.
تمكين منسوبي الجهة من تبني ثقافة الابتكار من خلال التدريب على أدوات ومنهجيات حديثة مثل التفكير التصميمي (</t>
    </r>
    <r>
      <rPr>
        <sz val="9"/>
        <color rgb="FF1F2937"/>
        <rFont val="Calibri"/>
        <family val="2"/>
      </rPr>
      <t xml:space="preserve">Design Thinking).
</t>
    </r>
    <r>
      <rPr>
        <sz val="9"/>
        <color rgb="FF1F2937"/>
        <rFont val="FreeSans"/>
        <family val="2"/>
      </rPr>
      <t>ضمان استدامة الابتكار المؤسسي بربطه بمؤشرات الأداء، ومتابعة تأثيره على جودة الخدمات وكفاءة التحول الرقمي.</t>
    </r>
  </si>
  <si>
    <r>
      <rPr>
        <sz val="9"/>
        <color rgb="FF1F2937"/>
        <rFont val="FreeSans"/>
        <family val="2"/>
      </rPr>
      <t>• تعزيز الجاهزية المؤسسية  لاستمرارية الأعمال</t>
    </r>
    <r>
      <rPr>
        <sz val="9"/>
        <color rgb="FF1F2937"/>
        <rFont val="Calibri"/>
        <family val="2"/>
      </rPr>
      <t xml:space="preserve">- </t>
    </r>
    <r>
      <rPr>
        <sz val="9"/>
        <color rgb="FF1F2937"/>
        <rFont val="FreeSans"/>
        <family val="2"/>
      </rPr>
      <t>المرحلة الأولى</t>
    </r>
  </si>
  <si>
    <t>برنامج التمكين الرقمي والتحول المؤسسي</t>
  </si>
  <si>
    <t>3. 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
4. بناء قدرات رقمية وطنية وتمكين الكفاءات المتخصصة والعامة في مجال البيانات والتحول الرقمي، من خلال مسارات تدريبية مستهدفة متوافقة مع معايير بناء الكفاءات
5. تحقيق التميز في تقديم الخدمات الرقمية من خلال التوسع في رقمنة الخدمات، وتحسين تجربة المستفيدين بما يضمن الامتثال لمعايير الحكومة الرقمية</t>
  </si>
  <si>
    <r>
      <rPr>
        <sz val="9"/>
        <color rgb="FF1F2937"/>
        <rFont val="Calibri"/>
        <family val="2"/>
      </rPr>
      <t>GAP-B-14</t>
    </r>
    <r>
      <rPr>
        <sz val="9"/>
        <color rgb="FF1F2937"/>
        <rFont val="FreeSans"/>
        <family val="2"/>
      </rPr>
      <t xml:space="preserve">، </t>
    </r>
    <r>
      <rPr>
        <sz val="9"/>
        <color rgb="FF1F2937"/>
        <rFont val="Calibri"/>
        <family val="2"/>
      </rPr>
      <t>GAP-B-23</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GAP-B-31</t>
    </r>
  </si>
  <si>
    <r>
      <rPr>
        <sz val="9"/>
        <color rgb="FF1F2937"/>
        <rFont val="Calibri"/>
        <family val="2"/>
      </rPr>
      <t>BR01</t>
    </r>
    <r>
      <rPr>
        <sz val="9"/>
        <color rgb="FF1F2937"/>
        <rFont val="FreeSans"/>
        <family val="2"/>
      </rPr>
      <t xml:space="preserve">، </t>
    </r>
    <r>
      <rPr>
        <sz val="9"/>
        <color rgb="FF1F2937"/>
        <rFont val="Calibri"/>
        <family val="2"/>
      </rPr>
      <t>BR05</t>
    </r>
    <r>
      <rPr>
        <sz val="9"/>
        <color rgb="FF1F2937"/>
        <rFont val="FreeSans"/>
        <family val="2"/>
      </rPr>
      <t xml:space="preserve">، </t>
    </r>
    <r>
      <rPr>
        <sz val="9"/>
        <color rgb="FF1F2937"/>
        <rFont val="Calibri"/>
        <family val="2"/>
      </rPr>
      <t>BR06</t>
    </r>
    <r>
      <rPr>
        <sz val="9"/>
        <color rgb="FF1F2937"/>
        <rFont val="FreeSans"/>
        <family val="2"/>
      </rPr>
      <t xml:space="preserve">، </t>
    </r>
    <r>
      <rPr>
        <sz val="9"/>
        <color rgb="FF1F2937"/>
        <rFont val="Calibri"/>
        <family val="2"/>
      </rPr>
      <t>BR07</t>
    </r>
    <r>
      <rPr>
        <sz val="9"/>
        <color rgb="FF1F2937"/>
        <rFont val="FreeSans"/>
        <family val="2"/>
      </rPr>
      <t xml:space="preserve">، </t>
    </r>
    <r>
      <rPr>
        <sz val="9"/>
        <color rgb="FF1F2937"/>
        <rFont val="Calibri"/>
        <family val="2"/>
      </rPr>
      <t>BR08</t>
    </r>
  </si>
  <si>
    <r>
      <rPr>
        <sz val="9"/>
        <color rgb="FF1F2937"/>
        <rFont val="FreeSans"/>
        <family val="2"/>
      </rPr>
      <t>يركز المشروع على تمكين الكوادر البشرية وتعزيز الثقافة الرقمية داخل الهيئة، إلى جانب دعم التغيير المؤسسي من خلال تنفيذ مبادرات مهيكلة تشمل التدريب، إعادة تصميم الإجراءات، وتفعيل أدوات التعاون الرقمي، بما يحقق المواءمة مع أهداف التحول الرقمي ورفع نضج العمل المؤسسي</t>
    </r>
    <r>
      <rPr>
        <sz val="9"/>
        <color rgb="FF1F2937"/>
        <rFont val="Calibri"/>
        <family val="2"/>
      </rPr>
      <t>.</t>
    </r>
  </si>
  <si>
    <t>رفع جاهزية الموظفين للتعامل مع الأنظمة والخدمات الرقمية.
تحسين كفاءة الأداء المؤسسي من خلال إعادة هندسة الإجراءات.
تعزيز ثقافة الابتكار والتحول الرقمي على مستوى جميع الإدارات.</t>
  </si>
  <si>
    <t>• تقديم الخدمات الاستشارية لقطاع البيانات والتحول الرقمي
• مشروع الأرشفة المؤسسية للتطبيقات الرقمية
• تعزيز جاهزية الابتكار واستدامته في البيئة الرقمية المؤسسية</t>
  </si>
  <si>
    <t>الإدارة العامة للموارد البشرية</t>
  </si>
  <si>
    <t>مشروع استضافة مركز البيانات الى مقدم خدمة بنية تحتية</t>
  </si>
  <si>
    <t>• تجديد استضافة مركز البيانات مع مقدم خدمة بنية تحتية</t>
  </si>
  <si>
    <r>
      <rPr>
        <sz val="9"/>
        <color rgb="FF1F2937"/>
        <rFont val="FreeSans"/>
        <family val="2"/>
      </rPr>
      <t xml:space="preserve">شركة اتحاد الاتصالات </t>
    </r>
    <r>
      <rPr>
        <sz val="9"/>
        <color rgb="FF1F2937"/>
        <rFont val="Calibri"/>
        <family val="2"/>
      </rPr>
      <t>(</t>
    </r>
    <r>
      <rPr>
        <sz val="9"/>
        <color rgb="FF1F2937"/>
        <rFont val="FreeSans"/>
        <family val="2"/>
      </rPr>
      <t>موبايلي</t>
    </r>
    <r>
      <rPr>
        <sz val="9"/>
        <color rgb="FF1F2937"/>
        <rFont val="Calibri"/>
        <family val="2"/>
      </rPr>
      <t>)</t>
    </r>
  </si>
  <si>
    <t>تهيئة البيئة الافتراضية</t>
  </si>
  <si>
    <r>
      <rPr>
        <sz val="9"/>
        <color rgb="FF1F2937"/>
        <rFont val="Calibri"/>
        <family val="2"/>
      </rPr>
      <t>GAP-A-01</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GAP-B-05</t>
    </r>
  </si>
  <si>
    <r>
      <rPr>
        <sz val="9"/>
        <color rgb="FF1F2937"/>
        <rFont val="FreeSans"/>
        <family val="2"/>
      </rPr>
      <t>مشروع تهيئة البيئة الافتراضية ضمن خطة التحول الرقمي وتعزيز قدرات الهيئة التقنية</t>
    </r>
    <r>
      <rPr>
        <sz val="9"/>
        <color rgb="FF1F2937"/>
        <rFont val="Calibri"/>
        <family val="2"/>
      </rPr>
      <t>.</t>
    </r>
  </si>
  <si>
    <t>نظام النسخ الاحتياطي وحفظ البيانات</t>
  </si>
  <si>
    <r>
      <rPr>
        <sz val="9"/>
        <color rgb="FF1F2937"/>
        <rFont val="FreeSans"/>
        <family val="2"/>
      </rPr>
      <t xml:space="preserve">رفع جاهزية واستدامة البنية التحتية التقنية
◂ </t>
    </r>
    <r>
      <rPr>
        <sz val="9"/>
        <color rgb="FF1F2937"/>
        <rFont val="Calibri"/>
        <family val="2"/>
      </rPr>
      <t>1. مبادرة الذكاء الاصطناعي والتحليلات المتقدمة</t>
    </r>
  </si>
  <si>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r>
      <rPr>
        <sz val="9"/>
        <color rgb="FF1F2937"/>
        <rFont val="FreeSans"/>
        <family val="2"/>
      </rPr>
      <t xml:space="preserve">، </t>
    </r>
    <r>
      <rPr>
        <sz val="9"/>
        <color rgb="FF1F2937"/>
        <rFont val="Calibri"/>
        <family val="2"/>
      </rPr>
      <t>GAP-D-16</t>
    </r>
    <r>
      <rPr>
        <sz val="9"/>
        <color rgb="FF1F2937"/>
        <rFont val="FreeSans"/>
        <family val="2"/>
      </rPr>
      <t xml:space="preserve">، </t>
    </r>
    <r>
      <rPr>
        <sz val="9"/>
        <color rgb="FF1F2937"/>
        <rFont val="Calibri"/>
        <family val="2"/>
      </rPr>
      <t>GAP-D-27</t>
    </r>
    <r>
      <rPr>
        <sz val="9"/>
        <color rgb="FF1F2937"/>
        <rFont val="FreeSans"/>
        <family val="2"/>
      </rPr>
      <t xml:space="preserve">، </t>
    </r>
    <r>
      <rPr>
        <sz val="9"/>
        <color rgb="FF1F2937"/>
        <rFont val="Calibri"/>
        <family val="2"/>
      </rPr>
      <t>GAP-T-8</t>
    </r>
  </si>
  <si>
    <r>
      <rPr>
        <sz val="9"/>
        <color rgb="FF1F2937"/>
        <rFont val="Calibri"/>
        <family val="2"/>
      </rPr>
      <t>AR19</t>
    </r>
    <r>
      <rPr>
        <sz val="9"/>
        <color rgb="FF1F2937"/>
        <rFont val="FreeSans"/>
        <family val="2"/>
      </rPr>
      <t xml:space="preserve">، </t>
    </r>
    <r>
      <rPr>
        <sz val="9"/>
        <color rgb="FF1F2937"/>
        <rFont val="Calibri"/>
        <family val="2"/>
      </rPr>
      <t>BR18</t>
    </r>
    <r>
      <rPr>
        <sz val="9"/>
        <color rgb="FF1F2937"/>
        <rFont val="FreeSans"/>
        <family val="2"/>
      </rPr>
      <t xml:space="preserve">، </t>
    </r>
    <r>
      <rPr>
        <sz val="9"/>
        <color rgb="FF1F2937"/>
        <rFont val="Calibri"/>
        <family val="2"/>
      </rPr>
      <t>BR19</t>
    </r>
    <r>
      <rPr>
        <sz val="9"/>
        <color rgb="FF1F2937"/>
        <rFont val="FreeSans"/>
        <family val="2"/>
      </rPr>
      <t xml:space="preserve">، </t>
    </r>
    <r>
      <rPr>
        <sz val="9"/>
        <color rgb="FF1F2937"/>
        <rFont val="Calibri"/>
        <family val="2"/>
      </rPr>
      <t>TR02</t>
    </r>
    <r>
      <rPr>
        <sz val="9"/>
        <color rgb="FF1F2937"/>
        <rFont val="FreeSans"/>
        <family val="2"/>
      </rPr>
      <t xml:space="preserve">، </t>
    </r>
    <r>
      <rPr>
        <sz val="9"/>
        <color rgb="FF1F2937"/>
        <rFont val="Calibri"/>
        <family val="2"/>
      </rPr>
      <t>TR03</t>
    </r>
  </si>
  <si>
    <t>نظام تخزين البيانات من خلال عمليات النسخ الاحتياطي وحفظ البيانات والأرشفة لضمان توفر النسخ الاحتياطية بتواجد عالي ومباشر وحمايتها من التهديدات السيبرانية. — نظام تخزين البيانات من خالل عمليات النسخ االحتياطي وحفظ البياناتواألرشفة
لضمان توفر النسخ االحتياطية بتواجد عالي ومباشر وحمايتها من التهديدات 
السيبرانية</t>
  </si>
  <si>
    <t>ضمان استمرارية الأعمال وحماية البيانات من خلال الأشفة دون الاتصال بالانترنت.
تقليل مخاطر فقدان البيانات نتيجة للأعطال أو الهجمات.
تمكين الاسترجاع السريع للبيانات عند الحاجة.
تعزيز الامتثال لمتطلبات الأمن السيبراني.</t>
  </si>
  <si>
    <t>• نظام النسخ الاحتياطي وحفظ البيانات</t>
  </si>
  <si>
    <t>قيد الترسية</t>
  </si>
  <si>
    <t>إدارة الأصول التقنية والإصلاحات والتحديثات الأمنية</t>
  </si>
  <si>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GAP-B-23</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GAP-T-3</t>
    </r>
    <r>
      <rPr>
        <sz val="9"/>
        <color rgb="FF1F2937"/>
        <rFont val="FreeSans"/>
        <family val="2"/>
      </rPr>
      <t xml:space="preserve">، </t>
    </r>
    <r>
      <rPr>
        <sz val="9"/>
        <color rgb="FF1F2937"/>
        <rFont val="Calibri"/>
        <family val="2"/>
      </rPr>
      <t>GAP-T-5</t>
    </r>
    <r>
      <rPr>
        <sz val="9"/>
        <color rgb="FF1F2937"/>
        <rFont val="FreeSans"/>
        <family val="2"/>
      </rPr>
      <t xml:space="preserve">، </t>
    </r>
    <r>
      <rPr>
        <sz val="9"/>
        <color rgb="FF1F2937"/>
        <rFont val="Calibri"/>
        <family val="2"/>
      </rPr>
      <t>GAP-T-11</t>
    </r>
    <r>
      <rPr>
        <sz val="9"/>
        <color rgb="FF1F2937"/>
        <rFont val="FreeSans"/>
        <family val="2"/>
      </rPr>
      <t xml:space="preserve">، </t>
    </r>
    <r>
      <rPr>
        <sz val="9"/>
        <color rgb="FF1F2937"/>
        <rFont val="Calibri"/>
        <family val="2"/>
      </rPr>
      <t>GAP-T-13</t>
    </r>
    <r>
      <rPr>
        <sz val="9"/>
        <color rgb="FF1F2937"/>
        <rFont val="FreeSans"/>
        <family val="2"/>
      </rPr>
      <t xml:space="preserve">، </t>
    </r>
    <r>
      <rPr>
        <sz val="9"/>
        <color rgb="FF1F2937"/>
        <rFont val="Calibri"/>
        <family val="2"/>
      </rPr>
      <t>GAP-T-15</t>
    </r>
  </si>
  <si>
    <r>
      <rPr>
        <sz val="9"/>
        <color rgb="FF1F2937"/>
        <rFont val="Calibri"/>
        <family val="2"/>
      </rPr>
      <t>AR07</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BR18</t>
    </r>
  </si>
  <si>
    <r>
      <rPr>
        <sz val="9"/>
        <color rgb="FF1F2937"/>
        <rFont val="FreeSans"/>
        <family val="2"/>
      </rPr>
      <t>تهدف هذه المنافسة إلى تطوير نظام إدارة استكشاف الأصول التقنية وإدارة الثغرات والإصلاحات والتحديثات الأمنية ونظام إدارة الأجهزة الطرفية لضمان تحديثها وحمايتها من الثغرات الأمنية عبر آلية فعالة لإدارة التصحيحات الأمنية</t>
    </r>
    <r>
      <rPr>
        <sz val="9"/>
        <color rgb="FF1F2937"/>
        <rFont val="Calibri"/>
        <family val="2"/>
      </rPr>
      <t xml:space="preserve">. </t>
    </r>
    <r>
      <rPr>
        <sz val="9"/>
        <color rgb="FF1F2937"/>
        <rFont val="FreeSans"/>
        <family val="2"/>
      </rPr>
      <t>يهدف المشروع إلى تعزيز التحكم في الأصول الرقمية، وإدارة الثغرات ورفع كفاءة إدارتها من خلال أتمتة عمليات الرصد والتحليل، وضمان التكامل مع أنظمة الهيئة، بما يسهم في رفع مستوى الأمان ودقة البيانات والتوافق مع السياسات المؤسسية</t>
    </r>
  </si>
  <si>
    <t>ضمان جاهزية واستقرار الأصول التقنية.
تقليل الأعطال والمخاطر الأمنية.
رفع كفاءة الصيانة الدورية والتحديثات.
إطالة عمر الأصول وتقليل التكاليف.</t>
  </si>
  <si>
    <t>• تطوير نظامي إدارة استكشاف الأصول التقنية والأجهزة الطرفية</t>
  </si>
  <si>
    <t>تشغيل وصيانة و إدارة نظم البيانات والتكامل وذكاء الأعمال</t>
  </si>
  <si>
    <r>
      <rPr>
        <sz val="9"/>
        <color rgb="FF1F2937"/>
        <rFont val="Calibri"/>
        <family val="2"/>
      </rPr>
      <t>GAP-A-01</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GAP-A-10</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GAP-B-18</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GAP-D-04</t>
    </r>
    <r>
      <rPr>
        <sz val="9"/>
        <color rgb="FF1F2937"/>
        <rFont val="FreeSans"/>
        <family val="2"/>
      </rPr>
      <t xml:space="preserve">، </t>
    </r>
    <r>
      <rPr>
        <sz val="9"/>
        <color rgb="FF1F2937"/>
        <rFont val="Calibri"/>
        <family val="2"/>
      </rPr>
      <t>GAP-D-05</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</si>
  <si>
    <r>
      <rPr>
        <sz val="9"/>
        <color rgb="FF1F2937"/>
        <rFont val="Calibri"/>
        <family val="2"/>
      </rPr>
      <t>AR02</t>
    </r>
    <r>
      <rPr>
        <sz val="9"/>
        <color rgb="FF1F2937"/>
        <rFont val="FreeSans"/>
        <family val="2"/>
      </rPr>
      <t xml:space="preserve">، </t>
    </r>
    <r>
      <rPr>
        <sz val="9"/>
        <color rgb="FF1F2937"/>
        <rFont val="Calibri"/>
        <family val="2"/>
      </rPr>
      <t>AR06</t>
    </r>
    <r>
      <rPr>
        <sz val="9"/>
        <color rgb="FF1F2937"/>
        <rFont val="FreeSans"/>
        <family val="2"/>
      </rPr>
      <t xml:space="preserve">، </t>
    </r>
    <r>
      <rPr>
        <sz val="9"/>
        <color rgb="FF1F2937"/>
        <rFont val="Calibri"/>
        <family val="2"/>
      </rPr>
      <t>AR08</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BR06</t>
    </r>
  </si>
  <si>
    <t>تشغيل وصيانة وإدارة نظم البيانات والتكامل وذكاء الأعمال لهيئة تقويم التعليم والتدريب في مراكز بيانات الهيئة</t>
  </si>
  <si>
    <t>تعزيز دقة وتكامل البيانات المؤسسية.
تمكين التحليلات واتخاذ القرار المبني على البيانات.
رفع كفاءة التكامل بين الأنظمة.
تحسين مؤشرات الأداء المؤسسية.</t>
  </si>
  <si>
    <t>• مشروع تنفيذ بند تشغيل وصيانة البنية التقنية لمنافسة مشروع تشغيل وصيانة البنية التقنية والبيانات وتطبيق الذكاء
• مشروع تنفيذ بند تشغيل وصيانة البنية التقنية لمنافسة مشروع تشغيل وصيانة البنية التقنية والبيانات وتطبيق الذكاء(تجديد العقد)</t>
  </si>
  <si>
    <t>شركة حرف لتقنية المعلومات</t>
  </si>
  <si>
    <t>تجديد رخصة موزع الاحمال</t>
  </si>
  <si>
    <t>• مشروع تجديد رخصة منتجات مايكروسوفت
• توريد وتركيب وترقية أجهزة موزع الأحمال والرخص الخاصة بها</t>
  </si>
  <si>
    <t>تجديد دعم منتجات مايكروسوفت بريمير</t>
  </si>
  <si>
    <t>2. تعزيز الكفاءة التشغيلية وكفاءة الإنفاق
5. تعزيز الحوكمة المؤسسية</t>
  </si>
  <si>
    <t>تأمين استمرارية العمل في أنظمة مايكروسوفت.
الحصول على دعم فني احترافي وسريع.
الوصول لأحدث التحديثات والميزات.
تقليل المخاطر الأمنية والتقنية.</t>
  </si>
  <si>
    <t>• مشروع تجديد رخصة منتجات مايكروسوفت
• تجديد دعم منتجات مايكروسوفت بريمير ( تجديد عقد )
• مشروع تجديد رخص منتجات مايكروسوفت</t>
  </si>
  <si>
    <t>شركة النافذة الدولية لتقنية المعلومات</t>
  </si>
  <si>
    <r>
      <rPr>
        <sz val="9"/>
        <color rgb="FF1F2937"/>
        <rFont val="FreeSans"/>
        <family val="2"/>
      </rPr>
      <t xml:space="preserve">حل مراقبة الشبكة والرؤية التلقائية واستكشاف الأخطاء وإصلاحها </t>
    </r>
    <r>
      <rPr>
        <sz val="9"/>
        <color rgb="FF1F2937"/>
        <rFont val="Calibri"/>
        <family val="2"/>
      </rPr>
      <t>netbren</t>
    </r>
  </si>
  <si>
    <r>
      <rPr>
        <sz val="9"/>
        <color rgb="FF1F2937"/>
        <rFont val="Calibri"/>
        <family val="2"/>
      </rPr>
      <t>GAP-A-06</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GAP-T-7</t>
    </r>
    <r>
      <rPr>
        <sz val="9"/>
        <color rgb="FF1F2937"/>
        <rFont val="FreeSans"/>
        <family val="2"/>
      </rPr>
      <t xml:space="preserve">، </t>
    </r>
    <r>
      <rPr>
        <sz val="9"/>
        <color rgb="FF1F2937"/>
        <rFont val="Calibri"/>
        <family val="2"/>
      </rPr>
      <t>GAP-T-9</t>
    </r>
    <r>
      <rPr>
        <sz val="9"/>
        <color rgb="FF1F2937"/>
        <rFont val="FreeSans"/>
        <family val="2"/>
      </rPr>
      <t xml:space="preserve">، </t>
    </r>
    <r>
      <rPr>
        <sz val="9"/>
        <color rgb="FF1F2937"/>
        <rFont val="Calibri"/>
        <family val="2"/>
      </rPr>
      <t>GAP-T-17</t>
    </r>
  </si>
  <si>
    <r>
      <rPr>
        <sz val="9"/>
        <color rgb="FF1F2937"/>
        <rFont val="Calibri"/>
        <family val="2"/>
      </rPr>
      <t>AR07</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TR04</t>
    </r>
  </si>
  <si>
    <r>
      <rPr>
        <sz val="9"/>
        <color rgb="FF1F2937"/>
        <rFont val="FreeSans"/>
        <family val="2"/>
      </rPr>
      <t xml:space="preserve">المراقبة، الأتمتة، وإدارة الاعداد الشبكة الخاصة بالبرجين </t>
    </r>
    <r>
      <rPr>
        <sz val="9"/>
        <color rgb="FF1F2937"/>
        <rFont val="Calibri"/>
        <family val="2"/>
      </rPr>
      <t xml:space="preserve">1 </t>
    </r>
    <r>
      <rPr>
        <sz val="9"/>
        <color rgb="FF1F2937"/>
        <rFont val="FreeSans"/>
        <family val="2"/>
      </rPr>
      <t xml:space="preserve">و </t>
    </r>
    <r>
      <rPr>
        <sz val="9"/>
        <color rgb="FF1F2937"/>
        <rFont val="Calibri"/>
        <family val="2"/>
      </rPr>
      <t>2</t>
    </r>
  </si>
  <si>
    <t>اكتشاف الأعطال وتحليلها تلقائيًا.
تقليل زمن الاستجابة للبلاغات الفنية.
تقديم رؤية شاملة لحالة الشبكة.
تحسين كفاءة فرق الدعم الفني.</t>
  </si>
  <si>
    <r>
      <rPr>
        <sz val="9"/>
        <color rgb="FF1F2937"/>
        <rFont val="FreeSans"/>
        <family val="2"/>
      </rPr>
      <t xml:space="preserve">تخزين وتحليل السجلات باستخدام  </t>
    </r>
    <r>
      <rPr>
        <sz val="9"/>
        <color rgb="FF1F2937"/>
        <rFont val="Calibri"/>
        <family val="2"/>
      </rPr>
      <t>fortianalayser</t>
    </r>
  </si>
  <si>
    <r>
      <rPr>
        <sz val="9"/>
        <color rgb="FF1F2937"/>
        <rFont val="Calibri"/>
        <family val="2"/>
      </rPr>
      <t>GAP-A-06</t>
    </r>
    <r>
      <rPr>
        <sz val="9"/>
        <color rgb="FF1F2937"/>
        <rFont val="FreeSans"/>
        <family val="2"/>
      </rPr>
      <t xml:space="preserve">، </t>
    </r>
    <r>
      <rPr>
        <sz val="9"/>
        <color rgb="FF1F2937"/>
        <rFont val="Calibri"/>
        <family val="2"/>
      </rPr>
      <t>GAP-D-19</t>
    </r>
    <r>
      <rPr>
        <sz val="9"/>
        <color rgb="FF1F2937"/>
        <rFont val="FreeSans"/>
        <family val="2"/>
      </rPr>
      <t xml:space="preserve">، </t>
    </r>
    <r>
      <rPr>
        <sz val="9"/>
        <color rgb="FF1F2937"/>
        <rFont val="Calibri"/>
        <family val="2"/>
      </rPr>
      <t>GAP-D-21</t>
    </r>
    <r>
      <rPr>
        <sz val="9"/>
        <color rgb="FF1F2937"/>
        <rFont val="FreeSans"/>
        <family val="2"/>
      </rPr>
      <t xml:space="preserve">، </t>
    </r>
    <r>
      <rPr>
        <sz val="9"/>
        <color rgb="FF1F2937"/>
        <rFont val="Calibri"/>
        <family val="2"/>
      </rPr>
      <t>GAP-T-18</t>
    </r>
  </si>
  <si>
    <t>تجميع سجلات وفحص حركة المرور</t>
  </si>
  <si>
    <t>تحسين قدرة الهيئة على اكتشاف التهديدات.
دعم التوافق مع متطلبات الأمن السيبراني.
تسريع عمليات التحقيق والتحليل.
تعزيز التحكم في بيانات الأحداث الأمنية.</t>
  </si>
  <si>
    <t>توفير وتوحيد أدوات المراقبة والإدارة التقنية للتطبيقات</t>
  </si>
  <si>
    <r>
      <rPr>
        <sz val="9"/>
        <color rgb="FF1F2937"/>
        <rFont val="Calibri"/>
        <family val="2"/>
      </rPr>
      <t>GAP-A-03</t>
    </r>
    <r>
      <rPr>
        <sz val="9"/>
        <color rgb="FF1F2937"/>
        <rFont val="FreeSans"/>
        <family val="2"/>
      </rPr>
      <t xml:space="preserve">، </t>
    </r>
    <r>
      <rPr>
        <sz val="9"/>
        <color rgb="FF1F2937"/>
        <rFont val="Calibri"/>
        <family val="2"/>
      </rPr>
      <t>GAP-A-06</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GAP-B-07</t>
    </r>
    <r>
      <rPr>
        <sz val="9"/>
        <color rgb="FF1F2937"/>
        <rFont val="FreeSans"/>
        <family val="2"/>
      </rPr>
      <t xml:space="preserve">، </t>
    </r>
    <r>
      <rPr>
        <sz val="9"/>
        <color rgb="FF1F2937"/>
        <rFont val="Calibri"/>
        <family val="2"/>
      </rPr>
      <t>GAP-B-11</t>
    </r>
    <r>
      <rPr>
        <sz val="9"/>
        <color rgb="FF1F2937"/>
        <rFont val="FreeSans"/>
        <family val="2"/>
      </rPr>
      <t xml:space="preserve">، </t>
    </r>
    <r>
      <rPr>
        <sz val="9"/>
        <color rgb="FF1F2937"/>
        <rFont val="Calibri"/>
        <family val="2"/>
      </rPr>
      <t>GAP-B-12</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GAP-B-27</t>
    </r>
    <r>
      <rPr>
        <sz val="9"/>
        <color rgb="FF1F2937"/>
        <rFont val="FreeSans"/>
        <family val="2"/>
      </rPr>
      <t xml:space="preserve">، </t>
    </r>
    <r>
      <rPr>
        <sz val="9"/>
        <color rgb="FF1F2937"/>
        <rFont val="Calibri"/>
        <family val="2"/>
      </rPr>
      <t>GAP-T-12</t>
    </r>
  </si>
  <si>
    <r>
      <rPr>
        <sz val="9"/>
        <color rgb="FF1F2937"/>
        <rFont val="Calibri"/>
        <family val="2"/>
      </rPr>
      <t>AR02</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BR14</t>
    </r>
  </si>
  <si>
    <r>
      <rPr>
        <sz val="9"/>
        <color rgb="FF1F2937"/>
        <rFont val="FreeSans"/>
        <family val="2"/>
      </rPr>
      <t>يستهدف المشروع توفير و توحيد منصات وأدوات مراقبة أداء التطبيقات وإدارتها داخل الهيئة ضمن إطار موحد، يتيح رؤية مركزية وشاملة عن حالة الأنظمة، مؤشرات الأداء، التنبيهات، ومشاكل البنية التحتية</t>
    </r>
    <r>
      <rPr>
        <sz val="9"/>
        <color rgb="FF1F2937"/>
        <rFont val="Calibri"/>
        <family val="2"/>
      </rPr>
      <t xml:space="preserve">. </t>
    </r>
    <r>
      <rPr>
        <sz val="9"/>
        <color rgb="FF1F2937"/>
        <rFont val="FreeSans"/>
        <family val="2"/>
      </rPr>
      <t>يشمل المشروع دمج الأدوات المتاحة ضمن منصة موحدة أو دمج بياناتها في لوحة تشغيل مركزية</t>
    </r>
    <r>
      <rPr>
        <sz val="9"/>
        <color rgb="FF1F2937"/>
        <rFont val="Calibri"/>
        <family val="2"/>
      </rPr>
      <t>.</t>
    </r>
  </si>
  <si>
    <t>ضمان تشغيل الأنظمة والتطبيقات بشكل قانوني ومستقر.
تمكين التحديثات الأمنية والفنية.
تحسين أداء الأنظمة وتقليل الأعطال.
رفع الجاهزية التقنية لخدمات الهيئة.    تحقيق رؤية موحدة وشاملة لحالة وأداء الأنظمة والتطبيقات.
تقليل زمن اكتشاف الأعطال وتحسين الاستجابة الفورية.
رفع كفاءة التشغيل ودقة تقارير الأداء والخدمة.</t>
  </si>
  <si>
    <t>توثيق وتطوير خدمات الأعمال وتحسين تجربة المستفيد</t>
  </si>
  <si>
    <t>2. تعزيز الكفاءة التشغيلية وكفاءة الإنفاق
4. دعم تحسين تجربة المستفيد
6. المواءمة الاستراتيجية</t>
  </si>
  <si>
    <r>
      <rPr>
        <sz val="9"/>
        <color rgb="FF1F2937"/>
        <rFont val="Calibri"/>
        <family val="2"/>
      </rPr>
      <t>GAP-A-01</t>
    </r>
    <r>
      <rPr>
        <sz val="9"/>
        <color rgb="FF1F2937"/>
        <rFont val="FreeSans"/>
        <family val="2"/>
      </rPr>
      <t xml:space="preserve">، </t>
    </r>
    <r>
      <rPr>
        <sz val="9"/>
        <color rgb="FF1F2937"/>
        <rFont val="Calibri"/>
        <family val="2"/>
      </rPr>
      <t>GAP-A-02</t>
    </r>
    <r>
      <rPr>
        <sz val="9"/>
        <color rgb="FF1F2937"/>
        <rFont val="FreeSans"/>
        <family val="2"/>
      </rPr>
      <t xml:space="preserve">، </t>
    </r>
    <r>
      <rPr>
        <sz val="9"/>
        <color rgb="FF1F2937"/>
        <rFont val="Calibri"/>
        <family val="2"/>
      </rPr>
      <t>GAP-A-03</t>
    </r>
    <r>
      <rPr>
        <sz val="9"/>
        <color rgb="FF1F2937"/>
        <rFont val="FreeSans"/>
        <family val="2"/>
      </rPr>
      <t xml:space="preserve">، </t>
    </r>
    <r>
      <rPr>
        <sz val="9"/>
        <color rgb="FF1F2937"/>
        <rFont val="Calibri"/>
        <family val="2"/>
      </rPr>
      <t>GAP-A-08</t>
    </r>
    <r>
      <rPr>
        <sz val="9"/>
        <color rgb="FF1F2937"/>
        <rFont val="FreeSans"/>
        <family val="2"/>
      </rPr>
      <t xml:space="preserve">، </t>
    </r>
    <r>
      <rPr>
        <sz val="9"/>
        <color rgb="FF1F2937"/>
        <rFont val="Calibri"/>
        <family val="2"/>
      </rPr>
      <t>GAP-A-09</t>
    </r>
    <r>
      <rPr>
        <sz val="9"/>
        <color rgb="FF1F2937"/>
        <rFont val="FreeSans"/>
        <family val="2"/>
      </rPr>
      <t xml:space="preserve">، </t>
    </r>
    <r>
      <rPr>
        <sz val="9"/>
        <color rgb="FF1F2937"/>
        <rFont val="Calibri"/>
        <family val="2"/>
      </rPr>
      <t>GAP-B-02</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GAP-B-07</t>
    </r>
    <r>
      <rPr>
        <sz val="9"/>
        <color rgb="FF1F2937"/>
        <rFont val="FreeSans"/>
        <family val="2"/>
      </rPr>
      <t xml:space="preserve">، </t>
    </r>
    <r>
      <rPr>
        <sz val="9"/>
        <color rgb="FF1F2937"/>
        <rFont val="Calibri"/>
        <family val="2"/>
      </rPr>
      <t>GAP-B-08</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GAP-B-19</t>
    </r>
    <r>
      <rPr>
        <sz val="9"/>
        <color rgb="FF1F2937"/>
        <rFont val="FreeSans"/>
        <family val="2"/>
      </rPr>
      <t xml:space="preserve">، </t>
    </r>
    <r>
      <rPr>
        <sz val="9"/>
        <color rgb="FF1F2937"/>
        <rFont val="Calibri"/>
        <family val="2"/>
      </rPr>
      <t>GAP-B-23</t>
    </r>
  </si>
  <si>
    <r>
      <rPr>
        <sz val="9"/>
        <color rgb="FF1F2937"/>
        <rFont val="Calibri"/>
        <family val="2"/>
      </rPr>
      <t>AR09</t>
    </r>
    <r>
      <rPr>
        <sz val="9"/>
        <color rgb="FF1F2937"/>
        <rFont val="FreeSans"/>
        <family val="2"/>
      </rPr>
      <t xml:space="preserve">، </t>
    </r>
    <r>
      <rPr>
        <sz val="9"/>
        <color rgb="FF1F2937"/>
        <rFont val="Calibri"/>
        <family val="2"/>
      </rPr>
      <t>BR01</t>
    </r>
    <r>
      <rPr>
        <sz val="9"/>
        <color rgb="FF1F2937"/>
        <rFont val="FreeSans"/>
        <family val="2"/>
      </rPr>
      <t xml:space="preserve">، </t>
    </r>
    <r>
      <rPr>
        <sz val="9"/>
        <color rgb="FF1F2937"/>
        <rFont val="Calibri"/>
        <family val="2"/>
      </rPr>
      <t>BR08</t>
    </r>
    <r>
      <rPr>
        <sz val="9"/>
        <color rgb="FF1F2937"/>
        <rFont val="FreeSans"/>
        <family val="2"/>
      </rPr>
      <t xml:space="preserve">، </t>
    </r>
    <r>
      <rPr>
        <sz val="9"/>
        <color rgb="FF1F2937"/>
        <rFont val="Calibri"/>
        <family val="2"/>
      </rPr>
      <t>BR12</t>
    </r>
    <r>
      <rPr>
        <sz val="9"/>
        <color rgb="FF1F2937"/>
        <rFont val="FreeSans"/>
        <family val="2"/>
      </rPr>
      <t xml:space="preserve">، </t>
    </r>
    <r>
      <rPr>
        <sz val="9"/>
        <color rgb="FF1F2937"/>
        <rFont val="Calibri"/>
        <family val="2"/>
      </rPr>
      <t>BR13</t>
    </r>
  </si>
  <si>
    <r>
      <rPr>
        <sz val="9"/>
        <color rgb="FF1F2937"/>
        <rFont val="FreeSans"/>
        <family val="2"/>
      </rPr>
      <t>يهدف المشروع إلى إعادة هندسة الإجراءات وتحديث الأدلة التشغيلية ورحلات المستفيد، بما يعزز الحوكمة، ويرفع كفاءة الخدمات، ويحسّن تجربة المستفيد وفق أفضل الممارسات</t>
    </r>
    <r>
      <rPr>
        <sz val="9"/>
        <color rgb="FF1F2937"/>
        <rFont val="Calibri"/>
        <family val="2"/>
      </rPr>
      <t>.</t>
    </r>
  </si>
  <si>
    <t>تحسين تجربة المستفيد من خلال توثيق الرحلات وإعادة هندسة الإجراءات لتحقيق التبسيط والتكامل.
رفع كفاءة خدمات الأعمال عبر تحديث الأدلة التشغيلية والتنظيمية وتصميم مؤشرات أداء واتفاقيات مستوى الخدمة.
تعزيز الحوكمة المؤسسية من خلال تطوير إطار موحد لتوثيق الإجراءات وتحديث السياسات وفق التوجهات الاستراتيجية.
دعم إدارة التغيير المؤسسي عبر مواءمة العمليات مع الواقع التشغيلي وتعزيز جاهزية التحول المؤسسي.</t>
  </si>
  <si>
    <t>مشروع تجديد رخص منتجات مايكروسوفت</t>
  </si>
  <si>
    <t>تجديد رخص منتجات مايكروسوفت</t>
  </si>
  <si>
    <t>• مشروع تجديد رخصة منتجات مايكروسوفت
• تجديد دعم منتجات مايكروسوفت بريمير ( تجديد عقد )
• مشروع شراء وتجديد رخص البرامج في هيئة تقويم التعليم والتدريب</t>
  </si>
  <si>
    <t>تأمين خدمة الرسائل النصية لهيئة تقويم التعليم والتدريب</t>
  </si>
  <si>
    <r>
      <rPr>
        <sz val="9"/>
        <color rgb="FF1F2937"/>
        <rFont val="Calibri"/>
        <family val="2"/>
      </rPr>
      <t>GAP-A-06</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GAP-B-04</t>
    </r>
    <r>
      <rPr>
        <sz val="9"/>
        <color rgb="FF1F2937"/>
        <rFont val="FreeSans"/>
        <family val="2"/>
      </rPr>
      <t xml:space="preserve">، </t>
    </r>
    <r>
      <rPr>
        <sz val="9"/>
        <color rgb="FF1F2937"/>
        <rFont val="Calibri"/>
        <family val="2"/>
      </rPr>
      <t>GAP-B-05</t>
    </r>
    <r>
      <rPr>
        <sz val="9"/>
        <color rgb="FF1F2937"/>
        <rFont val="FreeSans"/>
        <family val="2"/>
      </rPr>
      <t xml:space="preserve">، </t>
    </r>
    <r>
      <rPr>
        <sz val="9"/>
        <color rgb="FF1F2937"/>
        <rFont val="Calibri"/>
        <family val="2"/>
      </rPr>
      <t>GAP-B-09</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GAP-B-16</t>
    </r>
    <r>
      <rPr>
        <sz val="9"/>
        <color rgb="FF1F2937"/>
        <rFont val="FreeSans"/>
        <family val="2"/>
      </rPr>
      <t xml:space="preserve">، </t>
    </r>
    <r>
      <rPr>
        <sz val="9"/>
        <color rgb="FF1F2937"/>
        <rFont val="Calibri"/>
        <family val="2"/>
      </rPr>
      <t>GAP-B-17</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GAP-B-28</t>
    </r>
  </si>
  <si>
    <r>
      <rPr>
        <sz val="9"/>
        <color rgb="FF1F2937"/>
        <rFont val="Calibri"/>
        <family val="2"/>
      </rPr>
      <t>BR06</t>
    </r>
    <r>
      <rPr>
        <sz val="9"/>
        <color rgb="FF1F2937"/>
        <rFont val="FreeSans"/>
        <family val="2"/>
      </rPr>
      <t xml:space="preserve">، </t>
    </r>
    <r>
      <rPr>
        <sz val="9"/>
        <color rgb="FF1F2937"/>
        <rFont val="Calibri"/>
        <family val="2"/>
      </rPr>
      <t>TR01</t>
    </r>
  </si>
  <si>
    <t>توفير مرونه عالية لعمليات التحقق وعمليات تسجيل الاختبارات والمواعد للمستفيد</t>
  </si>
  <si>
    <t>• تأمين خدمة الرسائل النصية لهيئة تقويم التعليم والتدريب (تجديد العقد)
• تطبيق خدمة النفاذ الوطني الموحد في هيئة تقويم التعليم والتدريب</t>
  </si>
  <si>
    <t>شركة تقنيات الجوال المعلوماتية المحدودة شركة شخص واحد</t>
  </si>
  <si>
    <t>17/4/2024</t>
  </si>
  <si>
    <t>17/4/2027</t>
  </si>
  <si>
    <r>
      <rPr>
        <sz val="9"/>
        <color rgb="FF1F2937"/>
        <rFont val="FreeSans"/>
        <family val="2"/>
      </rPr>
      <t xml:space="preserve">تجديد رخص أنظمة </t>
    </r>
    <r>
      <rPr>
        <sz val="9"/>
        <color rgb="FF1F2937"/>
        <rFont val="Calibri"/>
        <family val="2"/>
      </rPr>
      <t>(SAP)</t>
    </r>
  </si>
  <si>
    <r>
      <rPr>
        <sz val="9"/>
        <color rgb="FF1F2937"/>
        <rFont val="FreeSans"/>
        <family val="2"/>
      </rPr>
      <t xml:space="preserve">ترشيد الإنفاق التقني وإدارة الرخص بفعالية
◂ </t>
    </r>
    <r>
      <rPr>
        <sz val="9"/>
        <color rgb="FF1F2937"/>
        <rFont val="Calibri"/>
        <family val="2"/>
      </rPr>
      <t>4. مبادرة تطوير الحلول والخدمات الرقمية</t>
    </r>
  </si>
  <si>
    <r>
      <rPr>
        <sz val="9"/>
        <color rgb="FF1F2937"/>
        <rFont val="Calibri"/>
        <family val="2"/>
      </rPr>
      <t>GAP-B-31</t>
    </r>
    <r>
      <rPr>
        <sz val="9"/>
        <color rgb="FF1F2937"/>
        <rFont val="FreeSans"/>
        <family val="2"/>
      </rPr>
      <t xml:space="preserve">، </t>
    </r>
    <r>
      <rPr>
        <sz val="9"/>
        <color rgb="FF1F2937"/>
        <rFont val="Calibri"/>
        <family val="2"/>
      </rPr>
      <t>GAP-D-03</t>
    </r>
    <r>
      <rPr>
        <sz val="9"/>
        <color rgb="FF1F2937"/>
        <rFont val="FreeSans"/>
        <family val="2"/>
      </rPr>
      <t xml:space="preserve">، </t>
    </r>
    <r>
      <rPr>
        <sz val="9"/>
        <color rgb="FF1F2937"/>
        <rFont val="Calibri"/>
        <family val="2"/>
      </rPr>
      <t>GAP-D-11</t>
    </r>
    <r>
      <rPr>
        <sz val="9"/>
        <color rgb="FF1F2937"/>
        <rFont val="FreeSans"/>
        <family val="2"/>
      </rPr>
      <t xml:space="preserve">، </t>
    </r>
    <r>
      <rPr>
        <sz val="9"/>
        <color rgb="FF1F2937"/>
        <rFont val="Calibri"/>
        <family val="2"/>
      </rPr>
      <t>GAP-D-12</t>
    </r>
    <r>
      <rPr>
        <sz val="9"/>
        <color rgb="FF1F2937"/>
        <rFont val="FreeSans"/>
        <family val="2"/>
      </rPr>
      <t xml:space="preserve">، </t>
    </r>
    <r>
      <rPr>
        <sz val="9"/>
        <color rgb="FF1F2937"/>
        <rFont val="Calibri"/>
        <family val="2"/>
      </rPr>
      <t>GAP-T-12</t>
    </r>
  </si>
  <si>
    <r>
      <rPr>
        <sz val="9"/>
        <color rgb="FF1F2937"/>
        <rFont val="Calibri"/>
        <family val="2"/>
      </rPr>
      <t>AR07</t>
    </r>
    <r>
      <rPr>
        <sz val="9"/>
        <color rgb="FF1F2937"/>
        <rFont val="FreeSans"/>
        <family val="2"/>
      </rPr>
      <t xml:space="preserve">، </t>
    </r>
    <r>
      <rPr>
        <sz val="9"/>
        <color rgb="FF1F2937"/>
        <rFont val="Calibri"/>
        <family val="2"/>
      </rPr>
      <t>AR10</t>
    </r>
    <r>
      <rPr>
        <sz val="9"/>
        <color rgb="FF1F2937"/>
        <rFont val="FreeSans"/>
        <family val="2"/>
      </rPr>
      <t xml:space="preserve">، </t>
    </r>
    <r>
      <rPr>
        <sz val="9"/>
        <color rgb="FF1F2937"/>
        <rFont val="Calibri"/>
        <family val="2"/>
      </rPr>
      <t>BR10</t>
    </r>
    <r>
      <rPr>
        <sz val="9"/>
        <color rgb="FF1F2937"/>
        <rFont val="FreeSans"/>
        <family val="2"/>
      </rPr>
      <t xml:space="preserve">، </t>
    </r>
    <r>
      <rPr>
        <sz val="9"/>
        <color rgb="FF1F2937"/>
        <rFont val="Calibri"/>
        <family val="2"/>
      </rPr>
      <t>TR03</t>
    </r>
  </si>
  <si>
    <t>• تجديد رخص أنظمة</t>
  </si>
  <si>
    <r>
      <rPr>
        <sz val="9"/>
        <color rgb="FF1F2937"/>
        <rFont val="FreeSans"/>
        <family val="2"/>
      </rPr>
      <t>مشروع البنية التحتية لنظام سطح المكتب الافتراضي</t>
    </r>
    <r>
      <rPr>
        <sz val="9"/>
        <color rgb="FF1F2937"/>
        <rFont val="Calibri"/>
        <family val="2"/>
      </rPr>
      <t>(</t>
    </r>
    <r>
      <rPr>
        <sz val="9"/>
        <color rgb="FF1F2937"/>
        <rFont val="FreeSans"/>
        <family val="2"/>
      </rPr>
      <t>تجديد العقد</t>
    </r>
    <r>
      <rPr>
        <sz val="9"/>
        <color rgb="FF1F2937"/>
        <rFont val="Calibri"/>
        <family val="2"/>
      </rPr>
      <t>)</t>
    </r>
  </si>
  <si>
    <t>• مشروع البنية التحتية لنظام سطح المكتب الافتراضي
• مشروع تنفيذ بند تشغيل وصيانة البنية التقنية لمنافسة مشروع تشغيل وصيانة البنية التقنية والبيانات وتطبيق الذكاء(تجديد العقد)</t>
  </si>
  <si>
    <t>14/6/2027</t>
  </si>
  <si>
    <t>14/6/2030</t>
  </si>
  <si>
    <t>تشغيل البنية المؤسسية في هيئة تقويم التعليم و التدريب</t>
  </si>
  <si>
    <t>15/4/2027</t>
  </si>
  <si>
    <t>15/4/2030</t>
  </si>
  <si>
    <r>
      <rPr>
        <sz val="9"/>
        <color rgb="FF1F2937"/>
        <rFont val="FreeSans"/>
        <family val="2"/>
      </rPr>
      <t xml:space="preserve">الربط الشبكي لمقرات الاختبارات المحوسبة </t>
    </r>
    <r>
      <rPr>
        <sz val="9"/>
        <color rgb="FF1F2937"/>
        <rFont val="Calibri"/>
        <family val="2"/>
      </rPr>
      <t>(</t>
    </r>
    <r>
      <rPr>
        <sz val="9"/>
        <color rgb="FF1F2937"/>
        <rFont val="FreeSans"/>
        <family val="2"/>
      </rPr>
      <t>تجديد العقد</t>
    </r>
    <r>
      <rPr>
        <sz val="9"/>
        <color rgb="FF1F2937"/>
        <rFont val="Calibri"/>
        <family val="2"/>
      </rPr>
      <t>)</t>
    </r>
  </si>
  <si>
    <r>
      <rPr>
        <sz val="9"/>
        <color rgb="FF1F2937"/>
        <rFont val="Calibri"/>
        <family val="2"/>
      </rPr>
      <t>BR06</t>
    </r>
    <r>
      <rPr>
        <sz val="9"/>
        <color rgb="FF1F2937"/>
        <rFont val="FreeSans"/>
        <family val="2"/>
      </rPr>
      <t xml:space="preserve">، </t>
    </r>
    <r>
      <rPr>
        <sz val="9"/>
        <color rgb="FF1F2937"/>
        <rFont val="Calibri"/>
        <family val="2"/>
      </rPr>
      <t>TR02</t>
    </r>
  </si>
  <si>
    <t>تقديم خدمة الربط الشبكي في هيئة تقويم التعليم والتدريب لجميع مقرات الاختبارات</t>
  </si>
  <si>
    <t>توفير خدمة إنترنت لربط عملية الاختبارات وإستمراريتها</t>
  </si>
  <si>
    <t>• الربط الشبكي لمقرات الاختبارات المحوسبة 
• التجهيز والتشغيل التقني لمقرات الاختبارات المحوسبة
• التجهيز والتشغيل التقني لمقرات الاختبارات المحوسبة بجميع مناطق المملكة</t>
  </si>
  <si>
    <r>
      <rPr>
        <sz val="9"/>
        <color rgb="FF1F2937"/>
        <rFont val="FreeSans"/>
        <family val="2"/>
      </rPr>
      <t>تأمين خدمة التحقق من بيانات المتقدمين يقين</t>
    </r>
    <r>
      <rPr>
        <sz val="9"/>
        <color rgb="FF1F2937"/>
        <rFont val="Calibri"/>
        <family val="2"/>
      </rPr>
      <t>(</t>
    </r>
    <r>
      <rPr>
        <sz val="9"/>
        <color rgb="FF1F2937"/>
        <rFont val="FreeSans"/>
        <family val="2"/>
      </rPr>
      <t>تجديد العقد</t>
    </r>
    <r>
      <rPr>
        <sz val="9"/>
        <color rgb="FF1F2937"/>
        <rFont val="Calibri"/>
        <family val="2"/>
      </rPr>
      <t>)</t>
    </r>
  </si>
  <si>
    <t>• تأمين خدمة التحقق من بيانات المتقدمين يقين
• تأمين خدمة الرسائل النصية لهيئة تقويم التعليم والتدريب (تجديد العقد)</t>
  </si>
  <si>
    <r>
      <rPr>
        <sz val="9"/>
        <color rgb="FF1F2937"/>
        <rFont val="FreeSans"/>
        <family val="2"/>
      </rPr>
      <t>صيانة وتطوير تطبيق التحقق من هوية المختبرين</t>
    </r>
    <r>
      <rPr>
        <sz val="9"/>
        <color rgb="FF1F2937"/>
        <rFont val="Calibri"/>
        <family val="2"/>
      </rPr>
      <t>(</t>
    </r>
    <r>
      <rPr>
        <sz val="9"/>
        <color rgb="FF1F2937"/>
        <rFont val="FreeSans"/>
        <family val="2"/>
      </rPr>
      <t>تجديد العقد</t>
    </r>
    <r>
      <rPr>
        <sz val="9"/>
        <color rgb="FF1F2937"/>
        <rFont val="Calibri"/>
        <family val="2"/>
      </rPr>
      <t>)</t>
    </r>
  </si>
  <si>
    <t>تحسين تجربة المستفيد وتوحيد مسار ات تقديم الخدمات الرقمية</t>
  </si>
  <si>
    <t>• صيانة وتطوير تطبيق التحقق من هوية المختبرين
• مشروع تنفيذ بند تشغيل وصيانة البنية التقنية لمنافسة مشروع تشغيل وصيانة البنية التقنية والبيانات وتطبيق الذكاء(تجديد العقد)</t>
  </si>
  <si>
    <r>
      <rPr>
        <sz val="9"/>
        <color rgb="FF1F2937"/>
        <rFont val="FreeSans"/>
        <family val="2"/>
      </rPr>
      <t xml:space="preserve">الأعمال و التطبيقات والتقنية </t>
    </r>
    <r>
      <rPr>
        <sz val="9"/>
        <color rgb="FF1F2937"/>
        <rFont val="Calibri"/>
        <family val="2"/>
      </rPr>
      <t>(</t>
    </r>
    <r>
      <rPr>
        <sz val="9"/>
        <color rgb="FF1F2937"/>
        <rFont val="FreeSans"/>
        <family val="2"/>
      </rPr>
      <t>الامن السيبراني</t>
    </r>
    <r>
      <rPr>
        <sz val="9"/>
        <color rgb="FF1F2937"/>
        <rFont val="Calibri"/>
        <family val="2"/>
      </rPr>
      <t>)</t>
    </r>
  </si>
  <si>
    <t>تطبيق التقويم المدرسي الذكي</t>
  </si>
  <si>
    <r>
      <rPr>
        <sz val="9"/>
        <color rgb="FF1F2937"/>
        <rFont val="FreeSans"/>
        <family val="2"/>
      </rPr>
      <t>مشروع تطبيق التقويم المدرسي الذكي ضمن خطة التحول الرقمي وتعزيز قدرات الهيئة التقنية</t>
    </r>
    <r>
      <rPr>
        <sz val="9"/>
        <color rgb="FF1F2937"/>
        <rFont val="Calibri"/>
        <family val="2"/>
      </rPr>
      <t>.</t>
    </r>
  </si>
  <si>
    <r>
      <rPr>
        <sz val="9"/>
        <color rgb="FF1F2937"/>
        <rFont val="FreeSans"/>
        <family val="2"/>
      </rPr>
      <t>توفير خدمة للتعلم الإلكتروني جاهزة للاستخدام</t>
    </r>
    <r>
      <rPr>
        <sz val="9"/>
        <color rgb="FF1F2937"/>
        <rFont val="Calibri"/>
        <family val="2"/>
      </rPr>
      <t>(</t>
    </r>
    <r>
      <rPr>
        <sz val="9"/>
        <color rgb="FF1F2937"/>
        <rFont val="FreeSans"/>
        <family val="2"/>
      </rPr>
      <t>تجديد العقد</t>
    </r>
    <r>
      <rPr>
        <sz val="9"/>
        <color rgb="FF1F2937"/>
        <rFont val="Calibri"/>
        <family val="2"/>
      </rPr>
      <t>)</t>
    </r>
  </si>
  <si>
    <t>2. تعزيز الكفاءة التشغيلية وكفاءة الإنفاق
4. دعم تحسين تجربة المستفيد</t>
  </si>
  <si>
    <r>
      <rPr>
        <sz val="9"/>
        <color rgb="FF1F2937"/>
        <rFont val="Calibri"/>
        <family val="2"/>
      </rPr>
      <t>GAP-B-18</t>
    </r>
    <r>
      <rPr>
        <sz val="9"/>
        <color rgb="FF1F2937"/>
        <rFont val="FreeSans"/>
        <family val="2"/>
      </rPr>
      <t xml:space="preserve">، </t>
    </r>
    <r>
      <rPr>
        <sz val="9"/>
        <color rgb="FF1F2937"/>
        <rFont val="Calibri"/>
        <family val="2"/>
      </rPr>
      <t>GAP-T-12</t>
    </r>
    <r>
      <rPr>
        <sz val="9"/>
        <color rgb="FF1F2937"/>
        <rFont val="FreeSans"/>
        <family val="2"/>
      </rPr>
      <t xml:space="preserve">، </t>
    </r>
    <r>
      <rPr>
        <sz val="9"/>
        <color rgb="FF1F2937"/>
        <rFont val="Calibri"/>
        <family val="2"/>
      </rPr>
      <t>GAP-T-14</t>
    </r>
  </si>
  <si>
    <t>• توفير خدمة للتعلم الإلكتروني جاهزة للاستخدام</t>
  </si>
  <si>
    <t>تطوير منصة التدريب والمحاكاة</t>
  </si>
  <si>
    <r>
      <rPr>
        <sz val="9"/>
        <color rgb="FF1F2937"/>
        <rFont val="Calibri"/>
        <family val="2"/>
      </rPr>
      <t>GAP-B-01</t>
    </r>
    <r>
      <rPr>
        <sz val="9"/>
        <color rgb="FF1F2937"/>
        <rFont val="FreeSans"/>
        <family val="2"/>
      </rPr>
      <t xml:space="preserve">، </t>
    </r>
    <r>
      <rPr>
        <sz val="9"/>
        <color rgb="FF1F2937"/>
        <rFont val="Calibri"/>
        <family val="2"/>
      </rPr>
      <t>GAP-B-14</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GAP-D-20</t>
    </r>
    <r>
      <rPr>
        <sz val="9"/>
        <color rgb="FF1F2937"/>
        <rFont val="FreeSans"/>
        <family val="2"/>
      </rPr>
      <t xml:space="preserve">، </t>
    </r>
    <r>
      <rPr>
        <sz val="9"/>
        <color rgb="FF1F2937"/>
        <rFont val="Calibri"/>
        <family val="2"/>
      </rPr>
      <t>GAP-D-23</t>
    </r>
  </si>
  <si>
    <r>
      <rPr>
        <sz val="9"/>
        <color rgb="FF1F2937"/>
        <rFont val="Calibri"/>
        <family val="2"/>
      </rPr>
      <t>BR02</t>
    </r>
    <r>
      <rPr>
        <sz val="9"/>
        <color rgb="FF1F2937"/>
        <rFont val="FreeSans"/>
        <family val="2"/>
      </rPr>
      <t xml:space="preserve">، </t>
    </r>
    <r>
      <rPr>
        <sz val="9"/>
        <color rgb="FF1F2937"/>
        <rFont val="Calibri"/>
        <family val="2"/>
      </rPr>
      <t>BR06</t>
    </r>
  </si>
  <si>
    <r>
      <rPr>
        <sz val="9"/>
        <color rgb="FF1F2937"/>
        <rFont val="FreeSans"/>
        <family val="2"/>
      </rPr>
      <t>مشروع تطوير نظام أو تطبيق رقمي ضمن خطة التحول الرقمي للهيئة</t>
    </r>
    <r>
      <rPr>
        <sz val="9"/>
        <color rgb="FF1F2937"/>
        <rFont val="Calibri"/>
        <family val="2"/>
      </rPr>
      <t>.</t>
    </r>
  </si>
  <si>
    <t>دعم اتخاذ القرار المبني على البيانات • تعزيز القدرات التحليلية للهيئة • بناء القدرات الرقمية للموظفين • تعزيز ثقافة التعلم المؤسسي • أتمتة الإجراءات ورفع الكفاءة التشغيلية</t>
  </si>
  <si>
    <t>• تطوير تطبيق ومنصة مستقبلهم
• المنصة الرقمية لمؤسسات التعليم والتدريب
• تطوير منصة تكامل البيانات وانشاء مستودع البيانات المركزي</t>
  </si>
  <si>
    <t>إنشاء مكتبة رقمية للأكاديمية في القياس والتقويم والاعتماد</t>
  </si>
  <si>
    <r>
      <rPr>
        <sz val="9"/>
        <color rgb="FF1F2937"/>
        <rFont val="Calibri"/>
        <family val="2"/>
      </rPr>
      <t xml:space="preserve">4. </t>
    </r>
    <r>
      <rPr>
        <sz val="9"/>
        <color rgb="FF1F2937"/>
        <rFont val="FreeSans"/>
        <family val="2"/>
      </rPr>
      <t>بناء قدرات رقمية وطنية وتمكين الكفاءات المتخصصة والعامة في مجال البيانات والتحول الرقمي، من خلال مسارات تدريبية مستهدفة متوافقة مع معايير بناء الكفاءات</t>
    </r>
  </si>
  <si>
    <t>◂ 6. مبادرة التمكين الرقمي
(مُستنتَج)</t>
  </si>
  <si>
    <r>
      <rPr>
        <sz val="9"/>
        <color rgb="FF1F2937"/>
        <rFont val="Calibri"/>
        <family val="2"/>
      </rPr>
      <t>GAP-B-14</t>
    </r>
    <r>
      <rPr>
        <sz val="9"/>
        <color rgb="FF1F2937"/>
        <rFont val="FreeSans"/>
        <family val="2"/>
      </rPr>
      <t xml:space="preserve">، </t>
    </r>
    <r>
      <rPr>
        <sz val="9"/>
        <color rgb="FF1F2937"/>
        <rFont val="Calibri"/>
        <family val="2"/>
      </rPr>
      <t>GAP-B-28</t>
    </r>
    <r>
      <rPr>
        <sz val="9"/>
        <color rgb="FF1F2937"/>
        <rFont val="FreeSans"/>
        <family val="2"/>
      </rPr>
      <t xml:space="preserve">، </t>
    </r>
    <r>
      <rPr>
        <sz val="9"/>
        <color rgb="FF1F2937"/>
        <rFont val="Calibri"/>
        <family val="2"/>
      </rPr>
      <t>GAP-T-6</t>
    </r>
  </si>
  <si>
    <r>
      <rPr>
        <sz val="9"/>
        <color rgb="FF1F2937"/>
        <rFont val="Calibri"/>
        <family val="2"/>
      </rPr>
      <t>AR19</t>
    </r>
    <r>
      <rPr>
        <sz val="9"/>
        <color rgb="FF1F2937"/>
        <rFont val="FreeSans"/>
        <family val="2"/>
      </rPr>
      <t xml:space="preserve">، </t>
    </r>
    <r>
      <rPr>
        <sz val="9"/>
        <color rgb="FF1F2937"/>
        <rFont val="Calibri"/>
        <family val="2"/>
      </rPr>
      <t>BR06</t>
    </r>
    <r>
      <rPr>
        <sz val="9"/>
        <color rgb="FF1F2937"/>
        <rFont val="FreeSans"/>
        <family val="2"/>
      </rPr>
      <t xml:space="preserve">، </t>
    </r>
    <r>
      <rPr>
        <sz val="9"/>
        <color rgb="FF1F2937"/>
        <rFont val="Calibri"/>
        <family val="2"/>
      </rPr>
      <t>BR19</t>
    </r>
  </si>
  <si>
    <r>
      <rPr>
        <sz val="9"/>
        <color rgb="FF1F2937"/>
        <rFont val="FreeSans"/>
        <family val="2"/>
      </rPr>
      <t>مشروع إنشاء مكتبة رقمية للأكاديمية في القياس والتقويم والاعتماد ضمن خطة التحول الرقمي وتعزيز قدرات الهيئة التقنية</t>
    </r>
    <r>
      <rPr>
        <sz val="9"/>
        <color rgb="FF1F2937"/>
        <rFont val="Calibri"/>
        <family val="2"/>
      </rPr>
      <t>.</t>
    </r>
  </si>
  <si>
    <t>دعم منظومة الاختبارات والتقويم • رفع جودة إجراء الاختبارات الرقمية • بناء القدرات الرقمية للموظفين • تعزيز ثقافة التعلم المؤسسي • تعزيز النضج المؤسسي والبنية الاستراتيجية</t>
  </si>
  <si>
    <t>رفع مستوى الهيئة في المؤشرات الوطنية</t>
  </si>
  <si>
    <r>
      <rPr>
        <sz val="9"/>
        <color rgb="FF1F2937"/>
        <rFont val="Calibri"/>
        <family val="2"/>
      </rPr>
      <t>GAP-B-07</t>
    </r>
    <r>
      <rPr>
        <sz val="9"/>
        <color rgb="FF1F2937"/>
        <rFont val="FreeSans"/>
        <family val="2"/>
      </rPr>
      <t xml:space="preserve">، </t>
    </r>
    <r>
      <rPr>
        <sz val="9"/>
        <color rgb="FF1F2937"/>
        <rFont val="Calibri"/>
        <family val="2"/>
      </rPr>
      <t>GAP-B-11</t>
    </r>
    <r>
      <rPr>
        <sz val="9"/>
        <color rgb="FF1F2937"/>
        <rFont val="FreeSans"/>
        <family val="2"/>
      </rPr>
      <t xml:space="preserve">، </t>
    </r>
    <r>
      <rPr>
        <sz val="9"/>
        <color rgb="FF1F2937"/>
        <rFont val="Calibri"/>
        <family val="2"/>
      </rPr>
      <t>GAP-B-12</t>
    </r>
  </si>
  <si>
    <r>
      <rPr>
        <sz val="9"/>
        <color rgb="FF1F2937"/>
        <rFont val="FreeSans"/>
        <family val="2"/>
      </rPr>
      <t>مشروع رفع مستوى الهيئة في المؤشرات الوطنية ضمن خطة التحول الرقمي وتعزيز قدرات الهيئة التقنية</t>
    </r>
    <r>
      <rPr>
        <sz val="9"/>
        <color rgb="FF1F2937"/>
        <rFont val="Calibri"/>
        <family val="2"/>
      </rPr>
      <t>.</t>
    </r>
  </si>
  <si>
    <t>التحقق من الهوية من خلال صورة الوجه</t>
  </si>
  <si>
    <r>
      <rPr>
        <sz val="9"/>
        <color rgb="FF1F2937"/>
        <rFont val="Calibri"/>
        <family val="2"/>
      </rPr>
      <t xml:space="preserve">5. </t>
    </r>
    <r>
      <rPr>
        <sz val="9"/>
        <color rgb="FF1F2937"/>
        <rFont val="FreeSans"/>
        <family val="2"/>
      </rPr>
      <t>تعزيز الحوكمة المؤسسية</t>
    </r>
  </si>
  <si>
    <r>
      <rPr>
        <sz val="9"/>
        <color rgb="FF1F2937"/>
        <rFont val="Calibri"/>
        <family val="2"/>
      </rPr>
      <t>GAP-A-03</t>
    </r>
    <r>
      <rPr>
        <sz val="9"/>
        <color rgb="FF1F2937"/>
        <rFont val="FreeSans"/>
        <family val="2"/>
      </rPr>
      <t xml:space="preserve">، </t>
    </r>
    <r>
      <rPr>
        <sz val="9"/>
        <color rgb="FF1F2937"/>
        <rFont val="Calibri"/>
        <family val="2"/>
      </rPr>
      <t>GAP-A-07</t>
    </r>
    <r>
      <rPr>
        <sz val="9"/>
        <color rgb="FF1F2937"/>
        <rFont val="FreeSans"/>
        <family val="2"/>
      </rPr>
      <t xml:space="preserve">، </t>
    </r>
    <r>
      <rPr>
        <sz val="9"/>
        <color rgb="FF1F2937"/>
        <rFont val="Calibri"/>
        <family val="2"/>
      </rPr>
      <t>GAP-T-3</t>
    </r>
  </si>
  <si>
    <r>
      <rPr>
        <sz val="9"/>
        <color rgb="FF1F2937"/>
        <rFont val="Calibri"/>
        <family val="2"/>
      </rPr>
      <t>AR03</t>
    </r>
    <r>
      <rPr>
        <sz val="9"/>
        <color rgb="FF1F2937"/>
        <rFont val="FreeSans"/>
        <family val="2"/>
      </rPr>
      <t xml:space="preserve">، </t>
    </r>
    <r>
      <rPr>
        <sz val="9"/>
        <color rgb="FF1F2937"/>
        <rFont val="Calibri"/>
        <family val="2"/>
      </rPr>
      <t>AR18</t>
    </r>
    <r>
      <rPr>
        <sz val="9"/>
        <color rgb="FF1F2937"/>
        <rFont val="FreeSans"/>
        <family val="2"/>
      </rPr>
      <t xml:space="preserve">، </t>
    </r>
    <r>
      <rPr>
        <sz val="9"/>
        <color rgb="FF1F2937"/>
        <rFont val="Calibri"/>
        <family val="2"/>
      </rPr>
      <t>TR01</t>
    </r>
  </si>
  <si>
    <r>
      <rPr>
        <sz val="9"/>
        <color rgb="FF1F2937"/>
        <rFont val="FreeSans"/>
        <family val="2"/>
      </rPr>
      <t>مشروع التحقق من الهوية من خلال صورة الوجه ضمن خطة التحول الرقمي وتعزيز قدرات الهيئة التقنية</t>
    </r>
    <r>
      <rPr>
        <sz val="9"/>
        <color rgb="FF1F2937"/>
        <rFont val="Calibri"/>
        <family val="2"/>
      </rPr>
      <t>.</t>
    </r>
  </si>
  <si>
    <t>تعزيز الحوكمة والأمن السيبراني • حماية بيانات الهيئة والمستفيدين</t>
  </si>
  <si>
    <t>الأمن السيبراني</t>
  </si>
  <si>
    <t>تفعيل الابتكار</t>
  </si>
  <si>
    <r>
      <rPr>
        <sz val="9"/>
        <color rgb="FF1F2937"/>
        <rFont val="Calibri"/>
        <family val="2"/>
      </rPr>
      <t xml:space="preserve">3. </t>
    </r>
    <r>
      <rPr>
        <sz val="9"/>
        <color rgb="FF1F2937"/>
        <rFont val="FreeSans"/>
        <family val="2"/>
      </rPr>
      <t>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t>
    </r>
  </si>
  <si>
    <r>
      <rPr>
        <sz val="9"/>
        <color rgb="FF1F2937"/>
        <rFont val="Calibri"/>
        <family val="2"/>
      </rPr>
      <t>BR05</t>
    </r>
    <r>
      <rPr>
        <sz val="9"/>
        <color rgb="FF1F2937"/>
        <rFont val="FreeSans"/>
        <family val="2"/>
      </rPr>
      <t xml:space="preserve">، </t>
    </r>
    <r>
      <rPr>
        <sz val="9"/>
        <color rgb="FF1F2937"/>
        <rFont val="Calibri"/>
        <family val="2"/>
      </rPr>
      <t>BR06</t>
    </r>
    <r>
      <rPr>
        <sz val="9"/>
        <color rgb="FF1F2937"/>
        <rFont val="FreeSans"/>
        <family val="2"/>
      </rPr>
      <t xml:space="preserve">، </t>
    </r>
    <r>
      <rPr>
        <sz val="9"/>
        <color rgb="FF1F2937"/>
        <rFont val="Calibri"/>
        <family val="2"/>
      </rPr>
      <t>BR07</t>
    </r>
  </si>
  <si>
    <r>
      <rPr>
        <sz val="9"/>
        <color rgb="FF1F2937"/>
        <rFont val="FreeSans"/>
        <family val="2"/>
      </rPr>
      <t>مشروع تفعيل الابتكار ضمن خطة التحول الرقمي وتعزيز قدرات الهيئة التقنية</t>
    </r>
    <r>
      <rPr>
        <sz val="9"/>
        <color rgb="FF1F2937"/>
        <rFont val="Calibri"/>
        <family val="2"/>
      </rPr>
      <t>.</t>
    </r>
  </si>
  <si>
    <t>• تفعيل الابتكار الرقمي في بناء منتجات ابتكارية جديدة</t>
  </si>
  <si>
    <t>سماعات عالية الجودة تمنع التشويش</t>
  </si>
  <si>
    <r>
      <rPr>
        <sz val="9"/>
        <color rgb="FF1F2937"/>
        <rFont val="FreeSans"/>
        <family val="2"/>
      </rPr>
      <t>مشروع سماعات عالية الجودة تمنع التشويش ضمن خطة التحول الرقمي وتعزيز قدرات الهيئة التقنية</t>
    </r>
    <r>
      <rPr>
        <sz val="9"/>
        <color rgb="FF1F2937"/>
        <rFont val="Calibri"/>
        <family val="2"/>
      </rPr>
      <t>.</t>
    </r>
  </si>
  <si>
    <t>المراقبة الالية للمختبرين في المقرات</t>
  </si>
  <si>
    <t>4. دعم تحسين تجربة المستفيد
5. تعزيز الحوكمة المؤسسية</t>
  </si>
  <si>
    <r>
      <rPr>
        <sz val="9"/>
        <color rgb="FF1F2937"/>
        <rFont val="Calibri"/>
        <family val="2"/>
      </rPr>
      <t>GAP-A-06</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GAP-B-17</t>
    </r>
  </si>
  <si>
    <r>
      <rPr>
        <sz val="9"/>
        <color rgb="FF1F2937"/>
        <rFont val="FreeSans"/>
        <family val="2"/>
      </rPr>
      <t>مشروع المراقبة الالية للمختبرين في المقرات ضمن خطة التحول الرقمي وتعزيز قدرات الهيئة التقنية</t>
    </r>
    <r>
      <rPr>
        <sz val="9"/>
        <color rgb="FF1F2937"/>
        <rFont val="Calibri"/>
        <family val="2"/>
      </rPr>
      <t>.</t>
    </r>
  </si>
  <si>
    <t>تقديم خدمة العربات المتنقلة</t>
  </si>
  <si>
    <r>
      <rPr>
        <sz val="9"/>
        <color rgb="FF1F2937"/>
        <rFont val="Calibri"/>
        <family val="2"/>
      </rPr>
      <t>GAP-B-04</t>
    </r>
    <r>
      <rPr>
        <sz val="9"/>
        <color rgb="FF1F2937"/>
        <rFont val="FreeSans"/>
        <family val="2"/>
      </rPr>
      <t xml:space="preserve">، </t>
    </r>
    <r>
      <rPr>
        <sz val="9"/>
        <color rgb="FF1F2937"/>
        <rFont val="Calibri"/>
        <family val="2"/>
      </rPr>
      <t>GAP-B-17</t>
    </r>
  </si>
  <si>
    <r>
      <rPr>
        <sz val="9"/>
        <color rgb="FF1F2937"/>
        <rFont val="FreeSans"/>
        <family val="2"/>
      </rPr>
      <t>مشروع تقديم خدمة العربات المتنقلة ضمن خطة التحول الرقمي وتعزيز قدرات الهيئة التقنية</t>
    </r>
    <r>
      <rPr>
        <sz val="9"/>
        <color rgb="FF1F2937"/>
        <rFont val="Calibri"/>
        <family val="2"/>
      </rPr>
      <t>.</t>
    </r>
  </si>
  <si>
    <t>• تقديم خدمة أداء الاختبارات الرقمية بالرياض ، الدمام ، المدينة المنورة ، الطائف ، بريدة ، الهفوف ،جازان ، جدة
• توفير خدمة الاشتراك في موقع إلكتروني لتقديم خدمات الدعم والأبحاث التقنية
• تقديم خدمة التوقيع الالكتروني</t>
  </si>
  <si>
    <t>المرحلة الثانية من مشروع الكبائن الذكية</t>
  </si>
  <si>
    <t>◂ 5. مبادرة تحسين تجربة المستفيد الرقمية
(مُستنتَج)</t>
  </si>
  <si>
    <r>
      <rPr>
        <sz val="9"/>
        <color rgb="FF1F2937"/>
        <rFont val="Calibri"/>
        <family val="2"/>
      </rPr>
      <t>GAP-B-04</t>
    </r>
    <r>
      <rPr>
        <sz val="9"/>
        <color rgb="FF1F2937"/>
        <rFont val="FreeSans"/>
        <family val="2"/>
      </rPr>
      <t xml:space="preserve">، </t>
    </r>
    <r>
      <rPr>
        <sz val="9"/>
        <color rgb="FF1F2937"/>
        <rFont val="Calibri"/>
        <family val="2"/>
      </rPr>
      <t>GAP-B-15</t>
    </r>
    <r>
      <rPr>
        <sz val="9"/>
        <color rgb="FF1F2937"/>
        <rFont val="FreeSans"/>
        <family val="2"/>
      </rPr>
      <t xml:space="preserve">، </t>
    </r>
    <r>
      <rPr>
        <sz val="9"/>
        <color rgb="FF1F2937"/>
        <rFont val="Calibri"/>
        <family val="2"/>
      </rPr>
      <t>GAP-B-17</t>
    </r>
  </si>
  <si>
    <r>
      <rPr>
        <sz val="9"/>
        <color rgb="FF1F2937"/>
        <rFont val="FreeSans"/>
        <family val="2"/>
      </rPr>
      <t>مشروع المرحلة الثانية من مشروع الكبائن الذكية ضمن خطة التحول الرقمي وتعزيز قدرات الهيئة التقنية</t>
    </r>
    <r>
      <rPr>
        <sz val="9"/>
        <color rgb="FF1F2937"/>
        <rFont val="Calibri"/>
        <family val="2"/>
      </rPr>
      <t>.</t>
    </r>
  </si>
  <si>
    <t>• توفير خدمة اختبارات بالكبائن الذكية</t>
  </si>
  <si>
    <t>31/12/2028</t>
  </si>
  <si>
    <t>31/12/2033</t>
  </si>
  <si>
    <t>27/8/2025</t>
  </si>
  <si>
    <t>27/8/2027</t>
  </si>
  <si>
    <r>
      <rPr>
        <sz val="9"/>
        <color rgb="FF1F2937"/>
        <rFont val="Calibri"/>
        <family val="2"/>
      </rPr>
      <t>BR02</t>
    </r>
    <r>
      <rPr>
        <sz val="9"/>
        <color rgb="FF1F2937"/>
        <rFont val="FreeSans"/>
        <family val="2"/>
      </rPr>
      <t xml:space="preserve">، </t>
    </r>
    <r>
      <rPr>
        <sz val="9"/>
        <color rgb="FF1F2937"/>
        <rFont val="Calibri"/>
        <family val="2"/>
      </rPr>
      <t>BR04</t>
    </r>
  </si>
  <si>
    <t>• صيانة وتطوير تطبيق التحقق من هوية المختبرين
• تطوير تطبيق ومنصة مستقبلهم
• صيانة وتطوير تطبيق التحقق من هوية المختبرين(تجديد العقد)</t>
  </si>
  <si>
    <t>30/4/2026</t>
  </si>
  <si>
    <t>30/4/2028</t>
  </si>
  <si>
    <t>توريد وتركيب أنظمة إدارة وحوكمة البيانات</t>
  </si>
  <si>
    <t>◂ 4. مبادرة تطوير الحلول والخدمات الرقمية
(مُستنتَج)</t>
  </si>
  <si>
    <r>
      <rPr>
        <sz val="9"/>
        <color rgb="FF1F2937"/>
        <rFont val="Calibri"/>
        <family val="2"/>
      </rPr>
      <t>GAP-B-02</t>
    </r>
    <r>
      <rPr>
        <sz val="9"/>
        <color rgb="FF1F2937"/>
        <rFont val="FreeSans"/>
        <family val="2"/>
      </rPr>
      <t xml:space="preserve">، </t>
    </r>
    <r>
      <rPr>
        <sz val="9"/>
        <color rgb="FF1F2937"/>
        <rFont val="Calibri"/>
        <family val="2"/>
      </rPr>
      <t>GAP-B-06</t>
    </r>
    <r>
      <rPr>
        <sz val="9"/>
        <color rgb="FF1F2937"/>
        <rFont val="FreeSans"/>
        <family val="2"/>
      </rPr>
      <t xml:space="preserve">، </t>
    </r>
    <r>
      <rPr>
        <sz val="9"/>
        <color rgb="FF1F2937"/>
        <rFont val="Calibri"/>
        <family val="2"/>
      </rPr>
      <t>GAP-B-10</t>
    </r>
    <r>
      <rPr>
        <sz val="9"/>
        <color rgb="FF1F2937"/>
        <rFont val="FreeSans"/>
        <family val="2"/>
      </rPr>
      <t xml:space="preserve">، </t>
    </r>
    <r>
      <rPr>
        <sz val="9"/>
        <color rgb="FF1F2937"/>
        <rFont val="Calibri"/>
        <family val="2"/>
      </rPr>
      <t>GAP-B-13</t>
    </r>
    <r>
      <rPr>
        <sz val="9"/>
        <color rgb="FF1F2937"/>
        <rFont val="FreeSans"/>
        <family val="2"/>
      </rPr>
      <t xml:space="preserve">، </t>
    </r>
    <r>
      <rPr>
        <sz val="9"/>
        <color rgb="FF1F2937"/>
        <rFont val="Calibri"/>
        <family val="2"/>
      </rPr>
      <t>GAP-D-01</t>
    </r>
    <r>
      <rPr>
        <sz val="9"/>
        <color rgb="FF1F2937"/>
        <rFont val="FreeSans"/>
        <family val="2"/>
      </rPr>
      <t xml:space="preserve">، </t>
    </r>
    <r>
      <rPr>
        <sz val="9"/>
        <color rgb="FF1F2937"/>
        <rFont val="Calibri"/>
        <family val="2"/>
      </rPr>
      <t>GAP-D-02</t>
    </r>
    <r>
      <rPr>
        <sz val="9"/>
        <color rgb="FF1F2937"/>
        <rFont val="FreeSans"/>
        <family val="2"/>
      </rPr>
      <t xml:space="preserve">، </t>
    </r>
    <r>
      <rPr>
        <sz val="9"/>
        <color rgb="FF1F2937"/>
        <rFont val="Calibri"/>
        <family val="2"/>
      </rPr>
      <t>GAP-D-24</t>
    </r>
    <r>
      <rPr>
        <sz val="9"/>
        <color rgb="FF1F2937"/>
        <rFont val="FreeSans"/>
        <family val="2"/>
      </rPr>
      <t xml:space="preserve">، </t>
    </r>
    <r>
      <rPr>
        <sz val="9"/>
        <color rgb="FF1F2937"/>
        <rFont val="Calibri"/>
        <family val="2"/>
      </rPr>
      <t>GAP-D-25</t>
    </r>
    <r>
      <rPr>
        <sz val="9"/>
        <color rgb="FF1F2937"/>
        <rFont val="FreeSans"/>
        <family val="2"/>
      </rPr>
      <t xml:space="preserve">، </t>
    </r>
    <r>
      <rPr>
        <sz val="9"/>
        <color rgb="FF1F2937"/>
        <rFont val="Calibri"/>
        <family val="2"/>
      </rPr>
      <t>GAP-D-30</t>
    </r>
    <r>
      <rPr>
        <sz val="9"/>
        <color rgb="FF1F2937"/>
        <rFont val="FreeSans"/>
        <family val="2"/>
      </rPr>
      <t xml:space="preserve">، </t>
    </r>
    <r>
      <rPr>
        <sz val="9"/>
        <color rgb="FF1F2937"/>
        <rFont val="Calibri"/>
        <family val="2"/>
      </rPr>
      <t>GAP-D-31</t>
    </r>
  </si>
  <si>
    <r>
      <rPr>
        <sz val="9"/>
        <color rgb="FF1F2937"/>
        <rFont val="Calibri"/>
        <family val="2"/>
      </rPr>
      <t>AR02</t>
    </r>
    <r>
      <rPr>
        <sz val="9"/>
        <color rgb="FF1F2937"/>
        <rFont val="FreeSans"/>
        <family val="2"/>
      </rPr>
      <t xml:space="preserve">، </t>
    </r>
    <r>
      <rPr>
        <sz val="9"/>
        <color rgb="FF1F2937"/>
        <rFont val="Calibri"/>
        <family val="2"/>
      </rPr>
      <t>AR05</t>
    </r>
    <r>
      <rPr>
        <sz val="9"/>
        <color rgb="FF1F2937"/>
        <rFont val="FreeSans"/>
        <family val="2"/>
      </rPr>
      <t xml:space="preserve">، </t>
    </r>
    <r>
      <rPr>
        <sz val="9"/>
        <color rgb="FF1F2937"/>
        <rFont val="Calibri"/>
        <family val="2"/>
      </rPr>
      <t>AR12</t>
    </r>
    <r>
      <rPr>
        <sz val="9"/>
        <color rgb="FF1F2937"/>
        <rFont val="FreeSans"/>
        <family val="2"/>
      </rPr>
      <t xml:space="preserve">، </t>
    </r>
    <r>
      <rPr>
        <sz val="9"/>
        <color rgb="FF1F2937"/>
        <rFont val="Calibri"/>
        <family val="2"/>
      </rPr>
      <t>BR01</t>
    </r>
  </si>
  <si>
    <t>توريد وتركيب أنظمة إدارة وحوكمة البيانات حسب متطلبات مكتب البيانات الوطنية وتقديم خدمات فنية لبناء نظام مؤشرات الأداء ولوحات المعلومات</t>
  </si>
  <si>
    <t>• توريد وتركيب أدوات إدارة البيانات الوصفية والبيانات الرئيسية والمرجعية
• توريد وتركيب أجهزة تخزين البيانات التقنية</t>
  </si>
  <si>
    <r>
      <rPr>
        <sz val="9"/>
        <color rgb="FF1F2937"/>
        <rFont val="FreeSans"/>
        <family val="2"/>
      </rPr>
      <t xml:space="preserve">تشغيل البنية التحتية لهيئة تقويم التعليم والتدريب في المراكز التالية:
</t>
    </r>
    <r>
      <rPr>
        <sz val="9"/>
        <color rgb="FF1F2937"/>
        <rFont val="Calibri"/>
        <family val="2"/>
      </rPr>
      <t>1. مركز بيانات الهيئة المستضاف خارجياً.
2‌. مركز بيانات الهيئة الافتراضي في سحابة ديم.
3‌. مركز بيانات الهيئة في المقر الرئيسي والشبكة في المقر الرئيسي للهيئة وفرع الندى ومقرات الاختبارات بعدد 95 مقر. — تشغيل مستمر للبنية التقنية وخدمات الهيئة الخاصة فيها</t>
    </r>
  </si>
  <si>
    <t>رفع جاهزية واستدامة البنية التحتية التقنية</t>
  </si>
  <si>
    <r>
      <rPr>
        <sz val="9"/>
        <color rgb="FF1F2937"/>
        <rFont val="FreeSans"/>
        <family val="2"/>
      </rPr>
      <t>نظام تخزين البيانات من خلال عمليات النسخ الاحتياطي وحفظ البيانات والأرشفة لضمان توفر النسخ الاحتياطية بتواجد عالي ومباشر وحمايتها من التهديدات السيبرانية</t>
    </r>
    <r>
      <rPr>
        <sz val="9"/>
        <color rgb="FF1F2937"/>
        <rFont val="Calibri"/>
        <family val="2"/>
      </rPr>
      <t>.</t>
    </r>
  </si>
  <si>
    <r>
      <rPr>
        <sz val="9"/>
        <color rgb="FF1F2937"/>
        <rFont val="FreeSans"/>
        <family val="2"/>
      </rPr>
      <t xml:space="preserve">تشغيل و صيانة وتهجير  بيانات  نظام الاتصالات الإدارية </t>
    </r>
    <r>
      <rPr>
        <sz val="9"/>
        <color rgb="FF1F2937"/>
        <rFont val="Calibri"/>
        <family val="2"/>
      </rPr>
      <t>(</t>
    </r>
    <r>
      <rPr>
        <sz val="9"/>
        <color rgb="FF1F2937"/>
        <rFont val="FreeSans"/>
        <family val="2"/>
      </rPr>
      <t>مراسلات</t>
    </r>
    <r>
      <rPr>
        <sz val="9"/>
        <color rgb="FF1F2937"/>
        <rFont val="Calibri"/>
        <family val="2"/>
      </rPr>
      <t>)*</t>
    </r>
  </si>
  <si>
    <t>◂ 3. مبادرة تعزيز كفاءة واستدامة البنية التحتية التقنية | 4. مبادرة تطوير الحلول والخدمات الرقمية
(مُستنتَج)</t>
  </si>
  <si>
    <r>
      <rPr>
        <sz val="9"/>
        <color rgb="FF1F2937"/>
        <rFont val="Calibri"/>
        <family val="2"/>
      </rPr>
      <t>GAP-A-10</t>
    </r>
    <r>
      <rPr>
        <sz val="9"/>
        <color rgb="FF1F2937"/>
        <rFont val="FreeSans"/>
        <family val="2"/>
      </rPr>
      <t xml:space="preserve">، </t>
    </r>
    <r>
      <rPr>
        <sz val="9"/>
        <color rgb="FF1F2937"/>
        <rFont val="Calibri"/>
        <family val="2"/>
      </rPr>
      <t>GAP-D-07</t>
    </r>
    <r>
      <rPr>
        <sz val="9"/>
        <color rgb="FF1F2937"/>
        <rFont val="FreeSans"/>
        <family val="2"/>
      </rPr>
      <t xml:space="preserve">، </t>
    </r>
    <r>
      <rPr>
        <sz val="9"/>
        <color rgb="FF1F2937"/>
        <rFont val="Calibri"/>
        <family val="2"/>
      </rPr>
      <t>GAP-D-17</t>
    </r>
    <r>
      <rPr>
        <sz val="9"/>
        <color rgb="FF1F2937"/>
        <rFont val="FreeSans"/>
        <family val="2"/>
      </rPr>
      <t xml:space="preserve">، </t>
    </r>
    <r>
      <rPr>
        <sz val="9"/>
        <color rgb="FF1F2937"/>
        <rFont val="Calibri"/>
        <family val="2"/>
      </rPr>
      <t>GAP-D-21</t>
    </r>
  </si>
  <si>
    <r>
      <rPr>
        <sz val="9"/>
        <color rgb="FF1F2937"/>
        <rFont val="Calibri"/>
        <family val="2"/>
      </rPr>
      <t>AR01</t>
    </r>
    <r>
      <rPr>
        <sz val="9"/>
        <color rgb="FF1F2937"/>
        <rFont val="FreeSans"/>
        <family val="2"/>
      </rPr>
      <t xml:space="preserve">، </t>
    </r>
    <r>
      <rPr>
        <sz val="9"/>
        <color rgb="FF1F2937"/>
        <rFont val="Calibri"/>
        <family val="2"/>
      </rPr>
      <t>AR07</t>
    </r>
    <r>
      <rPr>
        <sz val="9"/>
        <color rgb="FF1F2937"/>
        <rFont val="FreeSans"/>
        <family val="2"/>
      </rPr>
      <t xml:space="preserve">، </t>
    </r>
    <r>
      <rPr>
        <sz val="9"/>
        <color rgb="FF1F2937"/>
        <rFont val="Calibri"/>
        <family val="2"/>
      </rPr>
      <t>TR03</t>
    </r>
  </si>
  <si>
    <r>
      <rPr>
        <sz val="9"/>
        <color rgb="FF1F2937"/>
        <rFont val="FreeSans"/>
        <family val="2"/>
      </rPr>
      <t xml:space="preserve">تشغيل و صيانة وتهجير  بيانات  نظام الاتصالات الإدارية </t>
    </r>
    <r>
      <rPr>
        <sz val="9"/>
        <color rgb="FF1F2937"/>
        <rFont val="Calibri"/>
        <family val="2"/>
      </rPr>
      <t>(</t>
    </r>
    <r>
      <rPr>
        <sz val="9"/>
        <color rgb="FF1F2937"/>
        <rFont val="FreeSans"/>
        <family val="2"/>
      </rPr>
      <t>مراسلات</t>
    </r>
    <r>
      <rPr>
        <sz val="9"/>
        <color rgb="FF1F2937"/>
        <rFont val="Calibri"/>
        <family val="2"/>
      </rPr>
      <t>)</t>
    </r>
  </si>
  <si>
    <t>ضمان استمرارية الخدمات التقنية • تقليل الأعطال والانقطاعات • دعم اتخاذ القرار المبني على البيانات • تعزيز القدرات التحليلية للهيئة</t>
  </si>
  <si>
    <t>تشغيل وصيانة اختبارات الطوارئ والاختبارات المؤسسية</t>
  </si>
  <si>
    <t>◂ 3. مبادرة تعزيز كفاءة واستدامة البنية التحتية التقنية | 4. مبادرة تطوير الحلول والخدمات الرقمية | 5. مبادرة تحسين تجربة المستفيد الرقمية
(مُستنتَج)</t>
  </si>
  <si>
    <t>تشغيل وصيانة نظامي اختبارات الطوارئ والاختبارات المؤسسية في المقرات الرقمية داخل الهيئة و خارجها و التأكد من عمليات تطبيق الاختبارات و تقديم الدعم الفني للحفاظ علي أداء عالٍ للنظام</t>
  </si>
  <si>
    <t>• تشغيل وصيانة تطبيق ألف ياء لاختبارات بطارية الذكاء المرتبطة بقياس القدرات العقلية 
• تطوير نظامي اختبارات الطوارئ والاختبارات المؤسسية
• تشغيل وصيانة أنظمة الهيئة ومراكزها وتشغيل وصيانة نظام اختبارات الطوارئ</t>
  </si>
  <si>
    <t>تشغيل المقرات المملوكة للهيئة</t>
  </si>
  <si>
    <t>◂ 4. مبادرة تطوير الحلول والخدمات الرقمية | 5. مبادرة تحسين تجربة المستفيد الرقمية
(مُستنتَج)</t>
  </si>
  <si>
    <r>
      <rPr>
        <sz val="9"/>
        <color rgb="FF1F2937"/>
        <rFont val="Calibri"/>
        <family val="2"/>
      </rPr>
      <t>GAP-A-02</t>
    </r>
    <r>
      <rPr>
        <sz val="9"/>
        <color rgb="FF1F2937"/>
        <rFont val="FreeSans"/>
        <family val="2"/>
      </rPr>
      <t xml:space="preserve">، </t>
    </r>
    <r>
      <rPr>
        <sz val="9"/>
        <color rgb="FF1F2937"/>
        <rFont val="Calibri"/>
        <family val="2"/>
      </rPr>
      <t>GAP-A-03</t>
    </r>
    <r>
      <rPr>
        <sz val="9"/>
        <color rgb="FF1F2937"/>
        <rFont val="FreeSans"/>
        <family val="2"/>
      </rPr>
      <t xml:space="preserve">، </t>
    </r>
    <r>
      <rPr>
        <sz val="9"/>
        <color rgb="FF1F2937"/>
        <rFont val="Calibri"/>
        <family val="2"/>
      </rPr>
      <t>GAP-A-06</t>
    </r>
    <r>
      <rPr>
        <sz val="9"/>
        <color rgb="FF1F2937"/>
        <rFont val="FreeSans"/>
        <family val="2"/>
      </rPr>
      <t xml:space="preserve">، </t>
    </r>
    <r>
      <rPr>
        <sz val="9"/>
        <color rgb="FF1F2937"/>
        <rFont val="Calibri"/>
        <family val="2"/>
      </rPr>
      <t>GAP-A-08</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GAP-B-08</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</si>
  <si>
    <r>
      <rPr>
        <sz val="9"/>
        <color rgb="FF1F2937"/>
        <rFont val="FreeSans"/>
        <family val="2"/>
      </rPr>
      <t xml:space="preserve">تقديم خدمة أداء الاختبارات الرقمية في المقرات المملوكة للهيئة </t>
    </r>
    <r>
      <rPr>
        <sz val="9"/>
        <color rgb="FF1F2937"/>
        <rFont val="Calibri"/>
        <family val="2"/>
      </rPr>
      <t xml:space="preserve">). </t>
    </r>
    <r>
      <rPr>
        <sz val="9"/>
        <color rgb="FF1F2937"/>
        <rFont val="FreeSans"/>
        <family val="2"/>
      </rPr>
      <t>بداية من استقبال المختبرين وتوثيق بياناتهم وتنظيم دخولهم لقاعة الاختبار ومراقبة الاختبارات  إلى انتهائها وتنظيم مغادرتهم</t>
    </r>
    <r>
      <rPr>
        <sz val="9"/>
        <color rgb="FF1F2937"/>
        <rFont val="Calibri"/>
        <family val="2"/>
      </rPr>
      <t>.</t>
    </r>
  </si>
  <si>
    <t>مشروع أتمتة إجراءات دخول الاختبارات في المقرات الرقميه</t>
  </si>
  <si>
    <r>
      <rPr>
        <sz val="9"/>
        <color rgb="FF1F2937"/>
        <rFont val="Calibri"/>
        <family val="2"/>
      </rPr>
      <t>GAP-A-07</t>
    </r>
    <r>
      <rPr>
        <sz val="9"/>
        <color rgb="FF1F2937"/>
        <rFont val="FreeSans"/>
        <family val="2"/>
      </rPr>
      <t xml:space="preserve">، </t>
    </r>
    <r>
      <rPr>
        <sz val="9"/>
        <color rgb="FF1F2937"/>
        <rFont val="Calibri"/>
        <family val="2"/>
      </rPr>
      <t>GAP-B-01</t>
    </r>
    <r>
      <rPr>
        <sz val="9"/>
        <color rgb="FF1F2937"/>
        <rFont val="FreeSans"/>
        <family val="2"/>
      </rPr>
      <t xml:space="preserve">، </t>
    </r>
    <r>
      <rPr>
        <sz val="9"/>
        <color rgb="FF1F2937"/>
        <rFont val="Calibri"/>
        <family val="2"/>
      </rPr>
      <t>GAP-B-20</t>
    </r>
    <r>
      <rPr>
        <sz val="9"/>
        <color rgb="FF1F2937"/>
        <rFont val="FreeSans"/>
        <family val="2"/>
      </rPr>
      <t xml:space="preserve">، </t>
    </r>
    <r>
      <rPr>
        <sz val="9"/>
        <color rgb="FF1F2937"/>
        <rFont val="Calibri"/>
        <family val="2"/>
      </rPr>
      <t>GAP-B-21</t>
    </r>
    <r>
      <rPr>
        <sz val="9"/>
        <color rgb="FF1F2937"/>
        <rFont val="FreeSans"/>
        <family val="2"/>
      </rPr>
      <t xml:space="preserve">، </t>
    </r>
    <r>
      <rPr>
        <sz val="9"/>
        <color rgb="FF1F2937"/>
        <rFont val="Calibri"/>
        <family val="2"/>
      </rPr>
      <t>GAP-B-22</t>
    </r>
    <r>
      <rPr>
        <sz val="9"/>
        <color rgb="FF1F2937"/>
        <rFont val="FreeSans"/>
        <family val="2"/>
      </rPr>
      <t xml:space="preserve">، </t>
    </r>
    <r>
      <rPr>
        <sz val="9"/>
        <color rgb="FF1F2937"/>
        <rFont val="Calibri"/>
        <family val="2"/>
      </rPr>
      <t>GAP-B-24</t>
    </r>
    <r>
      <rPr>
        <sz val="9"/>
        <color rgb="FF1F2937"/>
        <rFont val="FreeSans"/>
        <family val="2"/>
      </rPr>
      <t xml:space="preserve">، </t>
    </r>
    <r>
      <rPr>
        <sz val="9"/>
        <color rgb="FF1F2937"/>
        <rFont val="Calibri"/>
        <family val="2"/>
      </rPr>
      <t>GAP-B-25</t>
    </r>
  </si>
  <si>
    <r>
      <rPr>
        <sz val="9"/>
        <color rgb="FF1F2937"/>
        <rFont val="Calibri"/>
        <family val="2"/>
      </rPr>
      <t>BR01</t>
    </r>
    <r>
      <rPr>
        <sz val="9"/>
        <color rgb="FF1F2937"/>
        <rFont val="FreeSans"/>
        <family val="2"/>
      </rPr>
      <t xml:space="preserve">، </t>
    </r>
    <r>
      <rPr>
        <sz val="9"/>
        <color rgb="FF1F2937"/>
        <rFont val="Calibri"/>
        <family val="2"/>
      </rPr>
      <t>BR02</t>
    </r>
    <r>
      <rPr>
        <sz val="9"/>
        <color rgb="FF1F2937"/>
        <rFont val="FreeSans"/>
        <family val="2"/>
      </rPr>
      <t xml:space="preserve">، </t>
    </r>
    <r>
      <rPr>
        <sz val="9"/>
        <color rgb="FF1F2937"/>
        <rFont val="Calibri"/>
        <family val="2"/>
      </rPr>
      <t>TR01</t>
    </r>
  </si>
  <si>
    <t>يهدف المشروع إلى أتمتة إجراءات دخول المختبرين إلى مقرات الاختبارات بشكل كامل، من خلال تمكين المختبر من تنفيذ إجراءات الدخول والتحقق من الهوية إلكترونياً دون تدخل بشري، بما يضمن سرعة ودقة عملية الدخول والبدء في أداء الاختبار</t>
  </si>
  <si>
    <t>دعم منظومة الاختبارات والتقويم • رفع جودة إجراء الاختبارات الرقمية • أتمتة الإجراءات ورفع الكفاءة التشغيلية • تقليل الاعتماد على العمليات اليدوية</t>
  </si>
  <si>
    <t>الأمن السيبراني و الأعمال</t>
  </si>
  <si>
    <r>
      <rPr>
        <sz val="9"/>
        <color rgb="FF1F2937"/>
        <rFont val="FreeSans"/>
        <family val="2"/>
      </rPr>
      <t xml:space="preserve">تشغيل وصيانة تطبيق ألف ياء لاختبارات بطارية الذكاء المرتبطة بقياس القدرات العقلية </t>
    </r>
    <r>
      <rPr>
        <sz val="9"/>
        <color rgb="FF1F2937"/>
        <rFont val="Calibri"/>
        <family val="2"/>
      </rPr>
      <t xml:space="preserve">( </t>
    </r>
    <r>
      <rPr>
        <sz val="9"/>
        <color rgb="FF1F2937"/>
        <rFont val="FreeSans"/>
        <family val="2"/>
      </rPr>
      <t xml:space="preserve">تجديد عقد </t>
    </r>
    <r>
      <rPr>
        <sz val="9"/>
        <color rgb="FF1F2937"/>
        <rFont val="Calibri"/>
        <family val="2"/>
      </rPr>
      <t>)</t>
    </r>
  </si>
  <si>
    <r>
      <rPr>
        <sz val="9"/>
        <color rgb="FF1F2937"/>
        <rFont val="FreeSans"/>
        <family val="2"/>
      </rPr>
      <t>مشروع لتجديد رخص وصيانة أنظمة الهيئة التقنية لضمان استمرارية التشغيل والامتثال للمتطلبات التعاقدية</t>
    </r>
    <r>
      <rPr>
        <sz val="9"/>
        <color rgb="FF1F2937"/>
        <rFont val="Calibri"/>
        <family val="2"/>
      </rPr>
      <t>.</t>
    </r>
  </si>
  <si>
    <t>استمرارية دعم الأنظمة الحيوية • الحفاظ على الأمان والتحديثات • الامتثال للمتطلبات التعاقدية • ضمان استمرارية الخدمات التقنية • تقليل الأعطال والانقطاعات</t>
  </si>
  <si>
    <t>• تشغيل وصيانة تطبيق ألف ياء لاختبارات بطارية الذكاء المرتبطة بقياس القدرات العقلية 
• مشروع تنفيذ بند تشغيل وصيانة البنية التقنية لمنافسة مشروع تشغيل وصيانة البنية التقنية والبيانات وتطبيق الذكاء(تجديد العقد)</t>
  </si>
  <si>
    <t>24/4/2028</t>
  </si>
  <si>
    <t>تأمين اشتراكات للادوات التطويرية للأنظمة</t>
  </si>
  <si>
    <r>
      <rPr>
        <sz val="9"/>
        <color rgb="FF1F2937"/>
        <rFont val="Calibri"/>
        <family val="2"/>
      </rPr>
      <t>GAP-T-11</t>
    </r>
    <r>
      <rPr>
        <sz val="9"/>
        <color rgb="FF1F2937"/>
        <rFont val="FreeSans"/>
        <family val="2"/>
      </rPr>
      <t xml:space="preserve">، </t>
    </r>
    <r>
      <rPr>
        <sz val="9"/>
        <color rgb="FF1F2937"/>
        <rFont val="Calibri"/>
        <family val="2"/>
      </rPr>
      <t>GAP-T-14</t>
    </r>
  </si>
  <si>
    <t>توفير مجموعة من الاشتراكات في أدوات تطويرية لحاجة تسهيل اعمال التطوير والتشغيل للأنظمة</t>
  </si>
  <si>
    <t>توزيع المشاريع على الإدارات المالكة</t>
  </si>
  <si>
    <t>#</t>
  </si>
  <si>
    <t>الإدارة</t>
  </si>
  <si>
    <t>عدد المشاريع</t>
  </si>
  <si>
    <r>
      <rPr>
        <b/>
        <sz val="11"/>
        <color rgb="FFFFFFFF"/>
        <rFont val="FreeSans"/>
        <family val="2"/>
      </rPr>
      <t xml:space="preserve">إجمالي الميزانية </t>
    </r>
    <r>
      <rPr>
        <b/>
        <sz val="11"/>
        <color rgb="FFFFFFFF"/>
        <rFont val="Calibri"/>
        <family val="2"/>
      </rPr>
      <t>(</t>
    </r>
    <r>
      <rPr>
        <b/>
        <sz val="11"/>
        <color rgb="FFFFFFFF"/>
        <rFont val="FreeSans"/>
        <family val="2"/>
      </rPr>
      <t>ريال</t>
    </r>
    <r>
      <rPr>
        <b/>
        <sz val="11"/>
        <color rgb="FFFFFFFF"/>
        <rFont val="Calibri"/>
        <family val="2"/>
      </rPr>
      <t>)</t>
    </r>
  </si>
  <si>
    <t>الإجمالي</t>
  </si>
  <si>
    <r>
      <rPr>
        <b/>
        <sz val="13"/>
        <color rgb="FFFFFFFF"/>
        <rFont val="FreeSans"/>
        <family val="2"/>
      </rPr>
      <t xml:space="preserve">أهداف البنية المؤسسية </t>
    </r>
    <r>
      <rPr>
        <b/>
        <sz val="13"/>
        <color rgb="FFFFFFFF"/>
        <rFont val="Calibri"/>
        <family val="2"/>
      </rPr>
      <t>(6)</t>
    </r>
  </si>
  <si>
    <t>الهدف</t>
  </si>
  <si>
    <t>دعم اتخاذ القرارات</t>
  </si>
  <si>
    <t>تعزيز الكفاءة التشغيلية وكفاءة الإنفاق</t>
  </si>
  <si>
    <t>تمكين التحول الرقمي</t>
  </si>
  <si>
    <t>دعم تحسين تجربة المستفيد</t>
  </si>
  <si>
    <t>تعزيز الحوكمة المؤسسية</t>
  </si>
  <si>
    <t>المواءمة الاستراتيجية</t>
  </si>
  <si>
    <r>
      <rPr>
        <b/>
        <sz val="13"/>
        <color rgb="FFFFFFFF"/>
        <rFont val="FreeSans"/>
        <family val="2"/>
      </rPr>
      <t xml:space="preserve">أهداف التحول الرقمي </t>
    </r>
    <r>
      <rPr>
        <b/>
        <sz val="13"/>
        <color rgb="FFFFFFFF"/>
        <rFont val="Calibri"/>
        <family val="2"/>
      </rPr>
      <t>(6)</t>
    </r>
  </si>
  <si>
    <t>الامتثال للسياسات ذات العلاقة بمجال البيانات والتحول الرقمي الناشئ من أنظمة الهيئة وخدماتها، ومع تعزيز الاستفادة من البيانات والأنظمة لدعم أعمال الهيئة</t>
  </si>
  <si>
    <t>تمكين التكامل التقني مع الجهات الحكومية ذات العلاقة عبر قنوات البيانات الوطنية، لتبادل البيانات وتقديم خدمات موحدة ومترابطة للمستفيدين</t>
  </si>
  <si>
    <t>تعزيز الابتكار الرقمي المؤسسي من خلال استثمار التقنيات الناشئة والتحليلات المتقدمة والذكاء الاصطناعي لتطوير حلول رقمية فعّالة لدعم جودة التقويم والتعليم والتدريب، وتسهم في تحسين الكفاءة التشغيلية وتجربة المستفيد</t>
  </si>
  <si>
    <t>بناء قدرات رقمية وطنية وتمكين الكفاءات المتخصصة والعامة في مجال البيانات والتحول الرقمي، من خلال مسارات تدريبية مستهدفة متوافقة مع معايير بناء الكفاءات</t>
  </si>
  <si>
    <t>تحقيق التميز في تقديم الخدمات الرقمية من خلال التوسع في رقمنة الخدمات، وتحسين تجربة المستفيدين بما يضمن الامتثال لمعايير الحكومة الرقمية</t>
  </si>
  <si>
    <t>تنظيم الاستفادة من البنية التحتية التقنية بما يضمن استمرارية الأعمال وحوكمة الكفاءة التشغيلية</t>
  </si>
  <si>
    <r>
      <rPr>
        <b/>
        <sz val="13"/>
        <color rgb="FFFFFFFF"/>
        <rFont val="FreeSans"/>
        <family val="2"/>
      </rPr>
      <t xml:space="preserve">مبادرات التحول الرقمي الاستراتيجية </t>
    </r>
    <r>
      <rPr>
        <b/>
        <sz val="13"/>
        <color rgb="FFFFFFFF"/>
        <rFont val="Calibri"/>
        <family val="2"/>
      </rPr>
      <t>(6)</t>
    </r>
  </si>
  <si>
    <t>المبادرة</t>
  </si>
  <si>
    <t>مبادرة الذكاء الاصطناعي والتحليلات المتقدمة</t>
  </si>
  <si>
    <t>مبادرة الجاهزية التشغيلية واستمرارية الأعمال</t>
  </si>
  <si>
    <t>مبادرة تعزيز كفاءة واستدامة البنية التحتية التقنية</t>
  </si>
  <si>
    <t>مبادرة تطوير الحلول والخدمات الرقمية</t>
  </si>
  <si>
    <t>مبادرة تحسين تجربة المستفيد الرقمية</t>
  </si>
  <si>
    <t>مبادرة التمكين الرقمي</t>
  </si>
  <si>
    <t>الرمز</t>
  </si>
  <si>
    <t>النوع</t>
  </si>
  <si>
    <t>النص</t>
  </si>
  <si>
    <t>AR01</t>
  </si>
  <si>
    <t>تطبيقات</t>
  </si>
  <si>
    <t>تطوير نظام تواصل داخلي فعال يقلل الاعتماد على البريد الإلكتروني</t>
  </si>
  <si>
    <t>AR02</t>
  </si>
  <si>
    <t>توفير نظام مركزي لمتابعة الأداء وتحليل البيانات</t>
  </si>
  <si>
    <t>AR03</t>
  </si>
  <si>
    <t>توفير آلية للإبلاغ عن حوادث سرقة البيانات وتدريبات للموظفين</t>
  </si>
  <si>
    <t>AR04</t>
  </si>
  <si>
    <t>اعتماد تقنيات متقدمة لتصنيف البيانات</t>
  </si>
  <si>
    <t>AR05</t>
  </si>
  <si>
    <t>اعتماد نظام لإدارة جودة البيانات يشمل تعريف البيانات والمؤشرات</t>
  </si>
  <si>
    <t>AR06</t>
  </si>
  <si>
    <t>تطوير نظام موحد لتجميع بيانات المستفيدين وتحسين تكامل البيانات</t>
  </si>
  <si>
    <t>AR07</t>
  </si>
  <si>
    <t>اعتماد آلية مركزية لإدارة الأصول التقنية</t>
  </si>
  <si>
    <t>AR08</t>
  </si>
  <si>
    <t>تطوير نظام تحليل بيانات متكامل لرصد احتياجات المستفيدين</t>
  </si>
  <si>
    <t>AR09</t>
  </si>
  <si>
    <t>تنفيذ برامج وأدوات لقياس وتحليل رضا المستفيدين</t>
  </si>
  <si>
    <t>AR10</t>
  </si>
  <si>
    <t>تطوير نظام إدارة الإنابة لضمان استمرارية الأعمال</t>
  </si>
  <si>
    <t>AR11</t>
  </si>
  <si>
    <t>تطوير نظام متكامل لقياس أداء الإجراءات وربطها بالأهداف الاستراتيجية</t>
  </si>
  <si>
    <t>AR12</t>
  </si>
  <si>
    <t>تطوير نظام إدارة مهام يتضمن آلية لتحديد الأولويات</t>
  </si>
  <si>
    <t>AR13</t>
  </si>
  <si>
    <t>تطوير نظام لربط إدارة المهام مع إدارة الأداء</t>
  </si>
  <si>
    <t>AR14</t>
  </si>
  <si>
    <t>نظام موحد لاستقبال ومتابعة المقترحات والأفكار والشكاوى</t>
  </si>
  <si>
    <t>AR15</t>
  </si>
  <si>
    <t>تطوير منصة موحدة شاملة لأعمال الهيئة</t>
  </si>
  <si>
    <t>AR16</t>
  </si>
  <si>
    <t>إنشاء بوابة داخلية موحدة للموظفين</t>
  </si>
  <si>
    <t>AR17</t>
  </si>
  <si>
    <t>تطوير نظام متخصص للجودة</t>
  </si>
  <si>
    <t>AR18</t>
  </si>
  <si>
    <t>تكامل النظام الجديد مع الأنظمة الحالية</t>
  </si>
  <si>
    <t>AR19</t>
  </si>
  <si>
    <t>اعتماد أدوات وتقنيات متقدمة لإدارة المعرفة</t>
  </si>
  <si>
    <t>AR20</t>
  </si>
  <si>
    <t>إنشاء نظام مركزي لإدارة المشاريع</t>
  </si>
  <si>
    <t>BR01</t>
  </si>
  <si>
    <t>أعمال</t>
  </si>
  <si>
    <t>إعادة هندسة الإجراءات الخاصة بإدارة التغيير على العمليات مع وضع حوكمة فعالة</t>
  </si>
  <si>
    <t>BR02</t>
  </si>
  <si>
    <t>استكمال أتمتة جميع الإجراءات المتبقية لضمان تكامل الخدمات وتحسين الكفاءة التشغيلية</t>
  </si>
  <si>
    <t>BR03</t>
  </si>
  <si>
    <t>إعادة هندسة الإجراءات الخاصة بإدارة التواصل مع الجهات الحكومية المزودة للخدمات</t>
  </si>
  <si>
    <t>BR04</t>
  </si>
  <si>
    <t>تطوير وتطبيق نموذج متعدد القنوات لدمج قنوات التواصل مع المستفيدين</t>
  </si>
  <si>
    <t>BR05</t>
  </si>
  <si>
    <t>إجراء تقييم دوري لتحديد مستوى الثقافة الرقمية بين الموظفين</t>
  </si>
  <si>
    <t>BR06</t>
  </si>
  <si>
    <t>تطوير وتنفيذ برنامج تدريبي شامل لتعزيز المهارات الرقمية</t>
  </si>
  <si>
    <t>BR07</t>
  </si>
  <si>
    <t>توفير برامج تدريبية لتعزيز الثقافة الرشيقة والابتكار</t>
  </si>
  <si>
    <t>BR08</t>
  </si>
  <si>
    <r>
      <rPr>
        <sz val="10"/>
        <color rgb="FF1F2937"/>
        <rFont val="FreeSans"/>
        <family val="2"/>
      </rPr>
      <t xml:space="preserve">اعتماد وتطبيق منهجيات العمل الرشيقة </t>
    </r>
    <r>
      <rPr>
        <sz val="10"/>
        <color rgb="FF1F2937"/>
        <rFont val="Calibri"/>
        <family val="2"/>
      </rPr>
      <t>Agile</t>
    </r>
  </si>
  <si>
    <t>BR09</t>
  </si>
  <si>
    <t>تصميم وتنفيذ سياسات وإجراءات واضحة للإنابة</t>
  </si>
  <si>
    <t>BR10</t>
  </si>
  <si>
    <t>إعداد وتنفيذ سياسة موحدة لإدارة الأنظمة</t>
  </si>
  <si>
    <t>BR11</t>
  </si>
  <si>
    <t>إجراء مراجعة شاملة لجميع الأنظمة الحالية وخطة لدمج الأنظمة</t>
  </si>
  <si>
    <t>BR12</t>
  </si>
  <si>
    <r>
      <rPr>
        <sz val="10"/>
        <color rgb="FF1F2937"/>
        <rFont val="FreeSans"/>
        <family val="2"/>
      </rPr>
      <t xml:space="preserve">اعتماد مؤشرات أداء رئيسية </t>
    </r>
    <r>
      <rPr>
        <sz val="10"/>
        <color rgb="FF1F2937"/>
        <rFont val="Calibri"/>
        <family val="2"/>
      </rPr>
      <t xml:space="preserve">KPIs </t>
    </r>
    <r>
      <rPr>
        <sz val="10"/>
        <color rgb="FF1F2937"/>
        <rFont val="FreeSans"/>
        <family val="2"/>
      </rPr>
      <t>لكل إجراء وخدمة</t>
    </r>
  </si>
  <si>
    <t>BR13</t>
  </si>
  <si>
    <r>
      <rPr>
        <sz val="10"/>
        <color rgb="FF1F2937"/>
        <rFont val="FreeSans"/>
        <family val="2"/>
      </rPr>
      <t xml:space="preserve">دليل حوكمة الإجراءات ومصفوفة الصلاحيات واتفاقيات </t>
    </r>
    <r>
      <rPr>
        <sz val="10"/>
        <color rgb="FF1F2937"/>
        <rFont val="Calibri"/>
        <family val="2"/>
      </rPr>
      <t xml:space="preserve">OLA </t>
    </r>
    <r>
      <rPr>
        <sz val="10"/>
        <color rgb="FF1F2937"/>
        <rFont val="FreeSans"/>
        <family val="2"/>
      </rPr>
      <t xml:space="preserve">و </t>
    </r>
    <r>
      <rPr>
        <sz val="10"/>
        <color rgb="FF1F2937"/>
        <rFont val="Calibri"/>
        <family val="2"/>
      </rPr>
      <t>SLA</t>
    </r>
  </si>
  <si>
    <t>BR14</t>
  </si>
  <si>
    <t>إعداد سياسة واضحة لتحديد أولويات العمل</t>
  </si>
  <si>
    <t>BR15</t>
  </si>
  <si>
    <t>سياسة واضحة لتقييم أداء الموظف تشمل ربط المهام بمؤشرات الأداء</t>
  </si>
  <si>
    <t>BR16</t>
  </si>
  <si>
    <t>آلية فعالة لمعالجة ومتابعة المقترحات والشكاوى</t>
  </si>
  <si>
    <t>BR17</t>
  </si>
  <si>
    <t>تطوير وتطبيق استراتيجية إدارة التغيير المؤسسية</t>
  </si>
  <si>
    <t>BR18</t>
  </si>
  <si>
    <t>تطوير وتطبيق استراتيجية إدارة المخاطر المؤسسية</t>
  </si>
  <si>
    <t>BR19</t>
  </si>
  <si>
    <t>تطوير وتعزيز وظيفة إدارة المعرفة في الهيئة</t>
  </si>
  <si>
    <t>BR20</t>
  </si>
  <si>
    <t>تطوير وتطبيق سياسات وإجراءات موحدة لإدارة المشاريع التقنية</t>
  </si>
  <si>
    <t>DR01</t>
  </si>
  <si>
    <t>بيانات</t>
  </si>
  <si>
    <t>وضع معايير موحدة لجودة البيانات وتقديم تدريبات للموظفين</t>
  </si>
  <si>
    <t>DR02</t>
  </si>
  <si>
    <t>تطوير وتنفيذ إجراء موحد لتحديد البيانات الرئيسية والمرجعية</t>
  </si>
  <si>
    <t>TR01</t>
  </si>
  <si>
    <t>تقنية</t>
  </si>
  <si>
    <t>تأمين آلية مصادقة موحدة تشمل التحقق الثنائي وكلمات المرور</t>
  </si>
  <si>
    <t>TR02</t>
  </si>
  <si>
    <t>ضمان تنوع مصادر مزودي خدمات الإنترنت لضمان استمرارية الأعمال</t>
  </si>
  <si>
    <t>TR03</t>
  </si>
  <si>
    <t>الإسراع في تنفيذ خطط التعافي من الكوارث وتحديثها بانتظام</t>
  </si>
  <si>
    <t>TR04</t>
  </si>
  <si>
    <r>
      <rPr>
        <sz val="10"/>
        <color rgb="FF1F2937"/>
        <rFont val="FreeSans"/>
        <family val="2"/>
      </rPr>
      <t xml:space="preserve">الإسراع في تنفيذ نظام وفرة دائم </t>
    </r>
    <r>
      <rPr>
        <sz val="10"/>
        <color rgb="FF1F2937"/>
        <rFont val="Calibri"/>
        <family val="2"/>
      </rPr>
      <t xml:space="preserve">(Redundancy) </t>
    </r>
    <r>
      <rPr>
        <sz val="10"/>
        <color rgb="FF1F2937"/>
        <rFont val="FreeSans"/>
        <family val="2"/>
      </rPr>
      <t>على طبقات الشبكة</t>
    </r>
  </si>
  <si>
    <t>المجال</t>
  </si>
  <si>
    <t>GAP-A-01</t>
  </si>
  <si>
    <t>فجوات بنية التطبيقات</t>
  </si>
  <si>
    <r>
      <rPr>
        <sz val="10"/>
        <color rgb="FF1F2937"/>
        <rFont val="FreeSans"/>
        <family val="2"/>
      </rPr>
      <t>غياب التكامل الشامل بين معظم التطبيقات؛ تكامل أحادي أو غير موثق</t>
    </r>
    <r>
      <rPr>
        <sz val="10"/>
        <color rgb="FF1F2937"/>
        <rFont val="Calibri"/>
        <family val="2"/>
      </rPr>
      <t>.</t>
    </r>
  </si>
  <si>
    <t>GAP-A-02</t>
  </si>
  <si>
    <t>ضعف التوثيق في العديد من التطبيقات</t>
  </si>
  <si>
    <t>GAP-A-03</t>
  </si>
  <si>
    <r>
      <rPr>
        <sz val="10"/>
        <color rgb="FF1F2937"/>
        <rFont val="FreeSans"/>
        <family val="2"/>
      </rPr>
      <t>ضعف التوثيق الأمني في العديد من التطبيقات</t>
    </r>
    <r>
      <rPr>
        <sz val="10"/>
        <color rgb="FF1F2937"/>
        <rFont val="Calibri"/>
        <family val="2"/>
      </rPr>
      <t xml:space="preserve">: </t>
    </r>
    <r>
      <rPr>
        <sz val="10"/>
        <color rgb="FF1F2937"/>
        <rFont val="FreeSans"/>
        <family val="2"/>
      </rPr>
      <t>تشفير البيانات والمصادقة المتقدمة</t>
    </r>
  </si>
  <si>
    <t>GAP-A-04</t>
  </si>
  <si>
    <r>
      <rPr>
        <sz val="10"/>
        <color rgb="FF1F2937"/>
        <rFont val="FreeSans"/>
        <family val="2"/>
      </rPr>
      <t xml:space="preserve">عدم استثمار كامل للإمكانات السحابية وعناصر البنية التحتية الحديثة </t>
    </r>
    <r>
      <rPr>
        <sz val="10"/>
        <color rgb="FF1F2937"/>
        <rFont val="Calibri"/>
        <family val="2"/>
      </rPr>
      <t>Microservices</t>
    </r>
    <r>
      <rPr>
        <sz val="10"/>
        <color rgb="FF1F2937"/>
        <rFont val="FreeSans"/>
        <family val="2"/>
      </rPr>
      <t xml:space="preserve">، الحاويات </t>
    </r>
    <r>
      <rPr>
        <sz val="10"/>
        <color rgb="FF1F2937"/>
        <rFont val="Calibri"/>
        <family val="2"/>
      </rPr>
      <t>Containers .</t>
    </r>
  </si>
  <si>
    <t>GAP-A-05</t>
  </si>
  <si>
    <t>تطبيقات عديمة الاستخدام أو غير فعالة تشكِّل عبئًا تقنيًا وتشغيليًا</t>
  </si>
  <si>
    <t>GAP-A-06</t>
  </si>
  <si>
    <r>
      <rPr>
        <sz val="10"/>
        <color rgb="FF1F2937"/>
        <rFont val="FreeSans"/>
        <family val="2"/>
      </rPr>
      <t xml:space="preserve">تعدد أدوات الإدارة والمراقبة </t>
    </r>
    <r>
      <rPr>
        <sz val="10"/>
        <color rgb="FF1F2937"/>
        <rFont val="Calibri"/>
        <family val="2"/>
      </rPr>
      <t>SolarWinds</t>
    </r>
    <r>
      <rPr>
        <sz val="10"/>
        <color rgb="FF1F2937"/>
        <rFont val="FreeSans"/>
        <family val="2"/>
      </rPr>
      <t xml:space="preserve">، </t>
    </r>
    <r>
      <rPr>
        <sz val="10"/>
        <color rgb="FF1F2937"/>
        <rFont val="Calibri"/>
        <family val="2"/>
      </rPr>
      <t>AppDynamics</t>
    </r>
    <r>
      <rPr>
        <sz val="10"/>
        <color rgb="FF1F2937"/>
        <rFont val="FreeSans"/>
        <family val="2"/>
      </rPr>
      <t xml:space="preserve">، </t>
    </r>
    <r>
      <rPr>
        <sz val="10"/>
        <color rgb="FF1F2937"/>
        <rFont val="Calibri"/>
        <family val="2"/>
      </rPr>
      <t xml:space="preserve">Site24x7  </t>
    </r>
    <r>
      <rPr>
        <sz val="10"/>
        <color rgb="FF1F2937"/>
        <rFont val="FreeSans"/>
        <family val="2"/>
      </rPr>
      <t>دون توحيد رؤية التحليل والحوكمة</t>
    </r>
  </si>
  <si>
    <t>GAP-A-07</t>
  </si>
  <si>
    <t>قصور في المصادقة الموحدة، تشفير محدود، تباين في إدارة الحقوق والصلاحيات</t>
  </si>
  <si>
    <t>GAP-A-08</t>
  </si>
  <si>
    <t>غياب سجل مركزي لتتبع التطبيقات وتقيّدها بمعايير موحَّدة في التطوير والدعم</t>
  </si>
  <si>
    <t>GAP-A-09</t>
  </si>
  <si>
    <r>
      <rPr>
        <sz val="10"/>
        <color rgb="FF1F2937"/>
        <rFont val="FreeSans"/>
        <family val="2"/>
      </rPr>
      <t xml:space="preserve">عدم استفادة شاملة من </t>
    </r>
    <r>
      <rPr>
        <sz val="10"/>
        <color rgb="FF1F2937"/>
        <rFont val="Calibri"/>
        <family val="2"/>
      </rPr>
      <t>Denodo/Talend/CP4D</t>
    </r>
    <r>
      <rPr>
        <sz val="10"/>
        <color rgb="FF1F2937"/>
        <rFont val="FreeSans"/>
        <family val="2"/>
      </rPr>
      <t xml:space="preserve">، ونقص في مستودع بيانات مركزي  </t>
    </r>
    <r>
      <rPr>
        <sz val="10"/>
        <color rgb="FF1F2937"/>
        <rFont val="Calibri"/>
        <family val="2"/>
      </rPr>
      <t xml:space="preserve">(Data Lake) </t>
    </r>
    <r>
      <rPr>
        <sz val="10"/>
        <color rgb="FF1F2937"/>
        <rFont val="FreeSans"/>
        <family val="2"/>
      </rPr>
      <t>يتكامل مع كل الأنظمة</t>
    </r>
  </si>
  <si>
    <t>GAP-A-10</t>
  </si>
  <si>
    <t>عدم استفادة شاملة من ادوات و تطبيقات ذكاء الأعمال</t>
  </si>
  <si>
    <t>GAP-B-01</t>
  </si>
  <si>
    <t>فجوات بنية الأعمال</t>
  </si>
  <si>
    <t>غياب الأتمتة لبعض الخدمات أو الإجراءات الأساسية والداعمة</t>
  </si>
  <si>
    <t>GAP-B-02</t>
  </si>
  <si>
    <r>
      <rPr>
        <sz val="10"/>
        <color rgb="FF1F2937"/>
        <rFont val="FreeSans"/>
        <family val="2"/>
      </rPr>
      <t xml:space="preserve">ضعف في تطبيق اتفاقيات مستوى الخدمة أو التشغيل </t>
    </r>
    <r>
      <rPr>
        <sz val="10"/>
        <color rgb="FF1F2937"/>
        <rFont val="Calibri"/>
        <family val="2"/>
      </rPr>
      <t xml:space="preserve">(SLA , OLA) </t>
    </r>
    <r>
      <rPr>
        <sz val="10"/>
        <color rgb="FF1F2937"/>
        <rFont val="FreeSans"/>
        <family val="2"/>
      </rPr>
      <t>على عدد معين من الخدمات سواء بشكل جزئي أو كلي</t>
    </r>
  </si>
  <si>
    <t>GAP-B-03</t>
  </si>
  <si>
    <r>
      <rPr>
        <sz val="10"/>
        <color rgb="FF1F2937"/>
        <rFont val="FreeSans"/>
        <family val="2"/>
      </rPr>
      <t xml:space="preserve">الحاجة إلى تمكين </t>
    </r>
    <r>
      <rPr>
        <sz val="10"/>
        <color rgb="FF1F2937"/>
        <rFont val="Calibri"/>
        <family val="2"/>
      </rPr>
      <t xml:space="preserve">/ </t>
    </r>
    <r>
      <rPr>
        <sz val="10"/>
        <color rgb="FF1F2937"/>
        <rFont val="FreeSans"/>
        <family val="2"/>
      </rPr>
      <t>تفعيل خاصية الاعتماد الإلكتروني في عدد من الخدمات</t>
    </r>
  </si>
  <si>
    <t>GAP-B-04</t>
  </si>
  <si>
    <t>الحاجة إلى تمكين تتبع حالة الطلبات في بعض الخدمات و توحيد طريقة إرسال الإشعارات</t>
  </si>
  <si>
    <t>GAP-B-05</t>
  </si>
  <si>
    <t>الحاجة إلى التكامل مع الأنظمة والمنصات الداخلية و الخارجية في عدد من الخدمات  أو الإجراءات</t>
  </si>
  <si>
    <t>GAP-B-06</t>
  </si>
  <si>
    <t>غياب عملية حوكمة متكاملة لإجراءات الأعمال بشكل فعال</t>
  </si>
  <si>
    <t>GAP-B-07</t>
  </si>
  <si>
    <r>
      <rPr>
        <sz val="10"/>
        <color rgb="FF1F2937"/>
        <rFont val="FreeSans"/>
        <family val="2"/>
      </rPr>
      <t xml:space="preserve">الحاجة إلى تطوير وتحسين  مؤشرات قياس أداء لبعض الخدمات </t>
    </r>
    <r>
      <rPr>
        <sz val="10"/>
        <color rgb="FF1F2937"/>
        <rFont val="Calibri"/>
        <family val="2"/>
      </rPr>
      <t xml:space="preserve">/ </t>
    </r>
    <r>
      <rPr>
        <sz val="10"/>
        <color rgb="FF1F2937"/>
        <rFont val="FreeSans"/>
        <family val="2"/>
      </rPr>
      <t>الإجراءات</t>
    </r>
  </si>
  <si>
    <t>GAP-B-08</t>
  </si>
  <si>
    <r>
      <rPr>
        <sz val="10"/>
        <color rgb="FF1F2937"/>
        <rFont val="FreeSans"/>
        <family val="2"/>
      </rPr>
      <t xml:space="preserve">يوجد نماذج موحدة لتوثيق إجراءات العمل </t>
    </r>
    <r>
      <rPr>
        <sz val="10"/>
        <color rgb="FF1F2937"/>
        <rFont val="Calibri"/>
        <family val="2"/>
      </rPr>
      <t>(</t>
    </r>
    <r>
      <rPr>
        <sz val="10"/>
        <color rgb="FF1F2937"/>
        <rFont val="FreeSans"/>
        <family val="2"/>
      </rPr>
      <t>أدلة الأعمال الإجرائية</t>
    </r>
    <r>
      <rPr>
        <sz val="10"/>
        <color rgb="FF1F2937"/>
        <rFont val="Calibri"/>
        <family val="2"/>
      </rPr>
      <t xml:space="preserve">) </t>
    </r>
    <r>
      <rPr>
        <sz val="10"/>
        <color rgb="FF1F2937"/>
        <rFont val="FreeSans"/>
        <family val="2"/>
      </rPr>
      <t>ولكنها تحتاج إلى مراجعة وتحديث بانتظام لضمان توافقها مع التغيرات والاحتياجات الجديدة</t>
    </r>
  </si>
  <si>
    <t>GAP-B-09</t>
  </si>
  <si>
    <r>
      <rPr>
        <sz val="10"/>
        <color rgb="FF1F2937"/>
        <rFont val="FreeSans"/>
        <family val="2"/>
      </rPr>
      <t xml:space="preserve">الحاجة إلى توفير </t>
    </r>
    <r>
      <rPr>
        <sz val="10"/>
        <color rgb="FF1F2937"/>
        <rFont val="Calibri"/>
        <family val="2"/>
      </rPr>
      <t>(</t>
    </r>
    <r>
      <rPr>
        <sz val="10"/>
        <color rgb="FF1F2937"/>
        <rFont val="FreeSans"/>
        <family val="2"/>
      </rPr>
      <t xml:space="preserve">أدلة الخدمات، أدلة مرئية </t>
    </r>
    <r>
      <rPr>
        <sz val="10"/>
        <color rgb="FF1F2937"/>
        <rFont val="Calibri"/>
        <family val="2"/>
      </rPr>
      <t xml:space="preserve">) </t>
    </r>
    <r>
      <rPr>
        <sz val="10"/>
        <color rgb="FF1F2937"/>
        <rFont val="FreeSans"/>
        <family val="2"/>
      </rPr>
      <t>للمستفيدين  بشكل متكامل ومفصّل وموحد لعدد من الخدمات الخدمات</t>
    </r>
  </si>
  <si>
    <t>GAP-B-10</t>
  </si>
  <si>
    <t>الحاجة إلى توفير نماذج الحوكمة والقياس بشكل كامل</t>
  </si>
  <si>
    <t>GAP-B-11</t>
  </si>
  <si>
    <t>ضرورة استكمال وتحسين بعض التقارير الإلكترونية الحالية التي تحتاج إلى استكمال وتحسين</t>
  </si>
  <si>
    <t>GAP-B-12</t>
  </si>
  <si>
    <t>تنفذ بعض الأعمال حاليا باستخدام برمجيات لمعالجة البيانات</t>
  </si>
  <si>
    <t>GAP-B-13</t>
  </si>
  <si>
    <t>ضرورة إعادة هندسة الإجراءات التي تحتاج إلى تحسين</t>
  </si>
  <si>
    <t>GAP-B-14</t>
  </si>
  <si>
    <t>ضرورة تطوير وتنفيذ برامج تدريبية شاملة وفعالة للموظفين لتعزيز المهارات الرقمية كجزء من التحسين المستمر</t>
  </si>
  <si>
    <t>GAP-B-15</t>
  </si>
  <si>
    <t>ضرورة تطوير وتطبيق نموذج متعدد القنوات لدمج جميع قنوات التواصل مع المستفيدين لتحقيق تجربة مستفيدين سلسة</t>
  </si>
  <si>
    <t>GAP-B-16</t>
  </si>
  <si>
    <t>الاعتماد على التواصل اليدوي والتصعيد اليدوي</t>
  </si>
  <si>
    <t>GAP-B-17</t>
  </si>
  <si>
    <t>الحاجة إلى تحسين تجربة المستفيد ورحلاته المختلفة</t>
  </si>
  <si>
    <t>GAP-B-18</t>
  </si>
  <si>
    <t>الحاجة إلى توفير وتنفيذ بعض الأنظمة والأدوات التي تدعم وظائف وعمليات وحدات الأعمال</t>
  </si>
  <si>
    <t>GAP-B-19</t>
  </si>
  <si>
    <t>العمل على تصميم وتنفيذ سياسات وإجراءات جديدة تدعم أعمال الجهة</t>
  </si>
  <si>
    <t>GAP-B-20</t>
  </si>
  <si>
    <t>الحاجة إلى الأتمتة الرقمية لعمليات ووظائف الأعمال الخاصة باستقبال ومتابعة المقترحات والأفكار الإبداعية والشكاوى من خلال توفير  نظام موحد</t>
  </si>
  <si>
    <t>GAP-B-21</t>
  </si>
  <si>
    <t>العمل على الأتمتة الرقمية الشاملة لأعمال الهيئة من خلال تطوير منصة موحدة شاملة</t>
  </si>
  <si>
    <t>GAP-B-22</t>
  </si>
  <si>
    <t>ضرورة الأتمتة الرقمية لعمليات الموظفين من خلال إنشاء بوابة داخلية موحدة للموظفين</t>
  </si>
  <si>
    <t>GAP-B-23</t>
  </si>
  <si>
    <t>الحاجة إلى تطوير وتطبيق استراتيجيتي إدارة التغيير  المؤسسية و إدارة المخاطر المؤسسية</t>
  </si>
  <si>
    <t>GAP-B-24</t>
  </si>
  <si>
    <t>الحاجة إلى أتمتة أعمال ووظائف إدارة المشاريع وإدارة الأداء من خلال إنشاء نظام مركزي</t>
  </si>
  <si>
    <t>GAP-B-25</t>
  </si>
  <si>
    <t>الحاجة إلى أتمتة أعمال الجودة والتدقيق المؤسسي</t>
  </si>
  <si>
    <t>GAP-B-26</t>
  </si>
  <si>
    <t>ضرورة تطوير وتعزيز وظيفة إدارة المعرفة</t>
  </si>
  <si>
    <t>GAP-B-27</t>
  </si>
  <si>
    <r>
      <rPr>
        <sz val="10"/>
        <color rgb="FF1F2937"/>
        <rFont val="FreeSans"/>
        <family val="2"/>
      </rPr>
      <t xml:space="preserve">ضرورة تطبيق تقنية  </t>
    </r>
    <r>
      <rPr>
        <sz val="10"/>
        <color rgb="FF1F2937"/>
        <rFont val="Calibri"/>
        <family val="2"/>
      </rPr>
      <t>(OCR)</t>
    </r>
  </si>
  <si>
    <t>GAP-B-28</t>
  </si>
  <si>
    <t>ضرورة التحسين المستمر للحقائب التدريبية و تمتين برنامج إعداد المدربين</t>
  </si>
  <si>
    <t>GAP-B-29</t>
  </si>
  <si>
    <t>ضرورة إضافة ميزة وخيارات طرق الدفع الإضافية</t>
  </si>
  <si>
    <t>GAP-B-30</t>
  </si>
  <si>
    <t>ضرورة إضافة إدارة الاعتمادات الدولية في الهيكل التنظيمي</t>
  </si>
  <si>
    <t>GAP-B-31</t>
  </si>
  <si>
    <t>ضرورة تحسين  وتحديث المسميات الوظيفية</t>
  </si>
  <si>
    <t>GAP-D-01</t>
  </si>
  <si>
    <t>فجوات بنية البيانات</t>
  </si>
  <si>
    <t>غياب الدليل الموحد للبيانات</t>
  </si>
  <si>
    <t>GAP-D-02</t>
  </si>
  <si>
    <t>نقص جزئي في سياسات حوكمة البيانات</t>
  </si>
  <si>
    <t>GAP-D-03</t>
  </si>
  <si>
    <t>عدم توثيق خطط التعافي من الكوارث لخزائن البيانات الحيوية</t>
  </si>
  <si>
    <t>GAP-D-04</t>
  </si>
  <si>
    <t>تناثر قواعد البيانات</t>
  </si>
  <si>
    <t>GAP-D-05</t>
  </si>
  <si>
    <t>توفر منصة دمج بيانات جزئية لا تغطي كافة كيانات البيانات</t>
  </si>
  <si>
    <t>GAP-D-06</t>
  </si>
  <si>
    <t>وجود معايير جودة بيانات مفعلة جزئيًا دون تطبيق شامل على جميع كيانات البيانات</t>
  </si>
  <si>
    <t>GAP-D-07</t>
  </si>
  <si>
    <t>توفر قدرات تحليلية متقدمة غير مفعلة على مستوى الهيئة</t>
  </si>
  <si>
    <t>GAP-D-08</t>
  </si>
  <si>
    <t>ضعف توثيق البيانات المفتوحة</t>
  </si>
  <si>
    <t>GAP-D-09</t>
  </si>
  <si>
    <t>استمرار بعض التعاملات الورقية</t>
  </si>
  <si>
    <t>GAP-D-10</t>
  </si>
  <si>
    <r>
      <rPr>
        <sz val="10"/>
        <color rgb="FF1F2937"/>
        <rFont val="FreeSans"/>
        <family val="2"/>
      </rPr>
      <t xml:space="preserve">عدم وجود نظام موحّد لإدارة البيانات الوصفية </t>
    </r>
    <r>
      <rPr>
        <sz val="10"/>
        <color rgb="FF1F2937"/>
        <rFont val="Calibri"/>
        <family val="2"/>
      </rPr>
      <t>Metadata</t>
    </r>
  </si>
  <si>
    <t>GAP-D-11</t>
  </si>
  <si>
    <r>
      <rPr>
        <sz val="10"/>
        <color rgb="FF1F2937"/>
        <rFont val="FreeSans"/>
        <family val="2"/>
      </rPr>
      <t xml:space="preserve">انعدام اتفاقية مستوى الخدمة </t>
    </r>
    <r>
      <rPr>
        <sz val="10"/>
        <color rgb="FF1F2937"/>
        <rFont val="Calibri"/>
        <family val="2"/>
      </rPr>
      <t xml:space="preserve">(SLA) </t>
    </r>
    <r>
      <rPr>
        <sz val="10"/>
        <color rgb="FF1F2937"/>
        <rFont val="FreeSans"/>
        <family val="2"/>
      </rPr>
      <t>لخدمات البيانات</t>
    </r>
  </si>
  <si>
    <t>GAP-D-12</t>
  </si>
  <si>
    <t>نقص في سياسات الأرشفة طويلة الأجل</t>
  </si>
  <si>
    <t>GAP-D-13</t>
  </si>
  <si>
    <t>ضعف تحديد الأدوار الخاصة بأمناء البيانات</t>
  </si>
  <si>
    <t>GAP-D-14</t>
  </si>
  <si>
    <t>فجوة إنشاء كيانات بيانات جديدة لسد احتياجات أتمتة الأعمال والخدمات</t>
  </si>
  <si>
    <t>GAP-D-15</t>
  </si>
  <si>
    <t>الاعتماد على إدارة البيانات الورقية بدلًا من الأنظمة المؤتمتة</t>
  </si>
  <si>
    <t>GAP-D-16</t>
  </si>
  <si>
    <r>
      <rPr>
        <sz val="10"/>
        <color rgb="FF1F2937"/>
        <rFont val="FreeSans"/>
        <family val="2"/>
      </rPr>
      <t xml:space="preserve">عدم استخدام نظام </t>
    </r>
    <r>
      <rPr>
        <sz val="10"/>
        <color rgb="FF1F2937"/>
        <rFont val="Calibri"/>
        <family val="2"/>
      </rPr>
      <t xml:space="preserve">ECM </t>
    </r>
    <r>
      <rPr>
        <sz val="10"/>
        <color rgb="FF1F2937"/>
        <rFont val="FreeSans"/>
        <family val="2"/>
      </rPr>
      <t>والاكتفاء بحفظ الملفات على شبكة الهيئة</t>
    </r>
  </si>
  <si>
    <t>GAP-D-17</t>
  </si>
  <si>
    <r>
      <rPr>
        <sz val="10"/>
        <color rgb="FF1F2937"/>
        <rFont val="FreeSans"/>
        <family val="2"/>
      </rPr>
      <t>توفر قدرات الذكاء الاصطناعي وتعلم الآلة دون تفعيل شامل على مستوى الهيئة</t>
    </r>
    <r>
      <rPr>
        <sz val="10"/>
        <color rgb="FF1F2937"/>
        <rFont val="Calibri"/>
        <family val="2"/>
      </rPr>
      <t>.</t>
    </r>
  </si>
  <si>
    <t>GAP-D-18</t>
  </si>
  <si>
    <t>عدم وجود إجراءات موحّدة لتحديد البيانات الرئيسية والمرجعية</t>
  </si>
  <si>
    <t>GAP-D-19</t>
  </si>
  <si>
    <t>غياب تقنيات تصنيف البيانات المتقدم</t>
  </si>
  <si>
    <t>GAP-D-20</t>
  </si>
  <si>
    <t>الحاجة إلى توظيف التقنيات الناشئة لتلبية احتياجات المستفيدين بشكل استباقي</t>
  </si>
  <si>
    <t>GAP-D-21</t>
  </si>
  <si>
    <r>
      <rPr>
        <sz val="10"/>
        <color rgb="FF1F2937"/>
        <rFont val="FreeSans"/>
        <family val="2"/>
      </rPr>
      <t xml:space="preserve">عدم الإسراع في تنفيذ نظام منع تسرب البيانات </t>
    </r>
    <r>
      <rPr>
        <sz val="10"/>
        <color rgb="FF1F2937"/>
        <rFont val="Calibri"/>
        <family val="2"/>
      </rPr>
      <t>DLP</t>
    </r>
  </si>
  <si>
    <t>GAP-D-22</t>
  </si>
  <si>
    <r>
      <rPr>
        <sz val="10"/>
        <color rgb="FF1F2937"/>
        <rFont val="FreeSans"/>
        <family val="2"/>
      </rPr>
      <t>توثيق جزئي لهياكل البيانات ونمذجتها</t>
    </r>
    <r>
      <rPr>
        <sz val="10"/>
        <color rgb="FF1F2937"/>
        <rFont val="Calibri"/>
        <family val="2"/>
      </rPr>
      <t>.</t>
    </r>
  </si>
  <si>
    <t>GAP-D-23</t>
  </si>
  <si>
    <t>ضعف المنصّة المتاحة للمستخدمين لاستخراج التقارير والتحليلات</t>
  </si>
  <si>
    <t>GAP-D-24</t>
  </si>
  <si>
    <r>
      <rPr>
        <sz val="10"/>
        <color rgb="FF1F2937"/>
        <rFont val="FreeSans"/>
        <family val="2"/>
      </rPr>
      <t xml:space="preserve">غياب مستودع أو دليل مركزي شامل </t>
    </r>
    <r>
      <rPr>
        <sz val="10"/>
        <color rgb="FF1F2937"/>
        <rFont val="Calibri"/>
        <family val="2"/>
      </rPr>
      <t>(</t>
    </r>
    <r>
      <rPr>
        <sz val="10"/>
        <color rgb="FF1F2937"/>
        <rFont val="FreeSans"/>
        <family val="2"/>
      </rPr>
      <t>قاموس بيانات</t>
    </r>
    <r>
      <rPr>
        <sz val="10"/>
        <color rgb="FF1F2937"/>
        <rFont val="Calibri"/>
        <family val="2"/>
      </rPr>
      <t xml:space="preserve">) </t>
    </r>
    <r>
      <rPr>
        <sz val="10"/>
        <color rgb="FF1F2937"/>
        <rFont val="FreeSans"/>
        <family val="2"/>
      </rPr>
      <t>عن جميع عناصر البيانات المستخدمة</t>
    </r>
  </si>
  <si>
    <t>GAP-D-25</t>
  </si>
  <si>
    <r>
      <rPr>
        <sz val="10"/>
        <color rgb="FF1F2937"/>
        <rFont val="FreeSans"/>
        <family val="2"/>
      </rPr>
      <t xml:space="preserve">عدم اعتماد تصنيف واضح للبيانات </t>
    </r>
    <r>
      <rPr>
        <sz val="10"/>
        <color rgb="FF1F2937"/>
        <rFont val="Calibri"/>
        <family val="2"/>
      </rPr>
      <t>(</t>
    </r>
    <r>
      <rPr>
        <sz val="10"/>
        <color rgb="FF1F2937"/>
        <rFont val="FreeSans"/>
        <family val="2"/>
      </rPr>
      <t>مرجعية، وصفية، أساسية</t>
    </r>
    <r>
      <rPr>
        <sz val="10"/>
        <color rgb="FF1F2937"/>
        <rFont val="Calibri"/>
        <family val="2"/>
      </rPr>
      <t>)</t>
    </r>
  </si>
  <si>
    <t>GAP-D-26</t>
  </si>
  <si>
    <r>
      <rPr>
        <sz val="10"/>
        <color rgb="FF1F2937"/>
        <rFont val="FreeSans"/>
        <family val="2"/>
      </rPr>
      <t xml:space="preserve">نقص التقييم المستمر لجودة البيانات </t>
    </r>
    <r>
      <rPr>
        <sz val="10"/>
        <color rgb="FF1F2937"/>
        <rFont val="Calibri"/>
        <family val="2"/>
      </rPr>
      <t>(</t>
    </r>
    <r>
      <rPr>
        <sz val="10"/>
        <color rgb="FF1F2937"/>
        <rFont val="FreeSans"/>
        <family val="2"/>
      </rPr>
      <t>التكرار، الإكمال، التكامل</t>
    </r>
    <r>
      <rPr>
        <sz val="10"/>
        <color rgb="FF1F2937"/>
        <rFont val="Calibri"/>
        <family val="2"/>
      </rPr>
      <t xml:space="preserve">) </t>
    </r>
    <r>
      <rPr>
        <sz val="10"/>
        <color rgb="FF1F2937"/>
        <rFont val="FreeSans"/>
        <family val="2"/>
      </rPr>
      <t>وتعيين مسؤول مختص</t>
    </r>
  </si>
  <si>
    <t>GAP-D-27</t>
  </si>
  <si>
    <t>استمرار وجود قواعد بيانات غير مستخدمة وعدم أرشفتها</t>
  </si>
  <si>
    <t>GAP-D-28</t>
  </si>
  <si>
    <r>
      <rPr>
        <sz val="10"/>
        <color rgb="FF1F2937"/>
        <rFont val="FreeSans"/>
        <family val="2"/>
      </rPr>
      <t xml:space="preserve">غياب مؤشرات أداء نمذجة البيانات </t>
    </r>
    <r>
      <rPr>
        <sz val="10"/>
        <color rgb="FF1F2937"/>
        <rFont val="Calibri"/>
        <family val="2"/>
      </rPr>
      <t>(</t>
    </r>
    <r>
      <rPr>
        <sz val="10"/>
        <color rgb="FF1F2937"/>
        <rFont val="FreeSans"/>
        <family val="2"/>
      </rPr>
      <t>قياس فعالية النماذج وجودتها</t>
    </r>
    <r>
      <rPr>
        <sz val="10"/>
        <color rgb="FF1F2937"/>
        <rFont val="Calibri"/>
        <family val="2"/>
      </rPr>
      <t>)</t>
    </r>
  </si>
  <si>
    <t>GAP-D-29</t>
  </si>
  <si>
    <t>عدم تحديث وتوثيق كيانات البيانات المفتوحة بانتظام</t>
  </si>
  <si>
    <t>GAP-D-30</t>
  </si>
  <si>
    <t>ضعف التدريب والتوعية بإدارة البيانات وحوكمتها</t>
  </si>
  <si>
    <t>GAP-D-31</t>
  </si>
  <si>
    <r>
      <rPr>
        <sz val="10"/>
        <color rgb="FF1F2937"/>
        <rFont val="FreeSans"/>
        <family val="2"/>
      </rPr>
      <t>غياب النموذج المفاهيمي المؤسسي للبيانات بسبب ضعف توثيق العلاقات بين كيانات البيانات وخزائنها</t>
    </r>
    <r>
      <rPr>
        <sz val="10"/>
        <color rgb="FF1F2937"/>
        <rFont val="Calibri"/>
        <family val="2"/>
      </rPr>
      <t>.</t>
    </r>
  </si>
  <si>
    <t>GAP-T-1</t>
  </si>
  <si>
    <t>فجوات بنية التقنية والأمن السيبراني</t>
  </si>
  <si>
    <t>عدم وجود تقسيم واضح للأدوار والمسؤوليات</t>
  </si>
  <si>
    <t>GAP-T-2</t>
  </si>
  <si>
    <t>غياب برامج تدريبية دورية للموظفين</t>
  </si>
  <si>
    <t>GAP-T-3</t>
  </si>
  <si>
    <r>
      <rPr>
        <sz val="10"/>
        <color rgb="FF1F2937"/>
        <rFont val="FreeSans"/>
        <family val="2"/>
      </rPr>
      <t xml:space="preserve">عدم وجود تكامل مع مركز الأمن السيبراني </t>
    </r>
    <r>
      <rPr>
        <sz val="10"/>
        <color rgb="FF1F2937"/>
        <rFont val="Calibri"/>
        <family val="2"/>
      </rPr>
      <t>(SOC)</t>
    </r>
  </si>
  <si>
    <t>GAP-T-4</t>
  </si>
  <si>
    <t>غياب أدوات  اخذ القرار تلقاءيا بعد تحليل حركة المرور واكتشاف الأنماط المشبوهة</t>
  </si>
  <si>
    <t>GAP-T-5</t>
  </si>
  <si>
    <t>عدم توفر إجراءات واضحة لاستجابة الحوادث الأمنية وعمل سيناريو لعمليات الانقطاع بصورة دورية و موثقة</t>
  </si>
  <si>
    <t>GAP-T-6</t>
  </si>
  <si>
    <t>عدم وجود مستودع معرفة لتوثيق حلول المشاكل الشائعة</t>
  </si>
  <si>
    <t>GAP-T-7</t>
  </si>
  <si>
    <r>
      <rPr>
        <sz val="10"/>
        <color rgb="FF1F2937"/>
        <rFont val="FreeSans"/>
        <family val="2"/>
      </rPr>
      <t xml:space="preserve">نقص الأدوات التلقائية لمراقبة اختناقات الأداء على مستوي ال </t>
    </r>
    <r>
      <rPr>
        <sz val="10"/>
        <color rgb="FF1F2937"/>
        <rFont val="Calibri"/>
        <family val="2"/>
      </rPr>
      <t xml:space="preserve">LAN  </t>
    </r>
    <r>
      <rPr>
        <sz val="10"/>
        <color rgb="FF1F2937"/>
        <rFont val="FreeSans"/>
        <family val="2"/>
      </rPr>
      <t xml:space="preserve">ولكن يتوافر </t>
    </r>
    <r>
      <rPr>
        <sz val="10"/>
        <color rgb="FF1F2937"/>
        <rFont val="Calibri"/>
        <family val="2"/>
      </rPr>
      <t xml:space="preserve">thousand eyes </t>
    </r>
    <r>
      <rPr>
        <sz val="10"/>
        <color rgb="FF1F2937"/>
        <rFont val="FreeSans"/>
        <family val="2"/>
      </rPr>
      <t xml:space="preserve">على مستوي ال </t>
    </r>
    <r>
      <rPr>
        <sz val="10"/>
        <color rgb="FF1F2937"/>
        <rFont val="Calibri"/>
        <family val="2"/>
      </rPr>
      <t>WAN</t>
    </r>
  </si>
  <si>
    <t>GAP-T-8</t>
  </si>
  <si>
    <r>
      <rPr>
        <sz val="10"/>
        <color rgb="FF1F2937"/>
        <rFont val="FreeSans"/>
        <family val="2"/>
      </rPr>
      <t xml:space="preserve">عدم وجود أهداف موثقة لمؤشرات </t>
    </r>
    <r>
      <rPr>
        <sz val="10"/>
        <color rgb="FF1F2937"/>
        <rFont val="Calibri"/>
        <family val="2"/>
      </rPr>
      <t>RTO/RPO</t>
    </r>
  </si>
  <si>
    <t>GAP-T-9</t>
  </si>
  <si>
    <r>
      <rPr>
        <sz val="10"/>
        <color rgb="FF1F2937"/>
        <rFont val="FreeSans"/>
        <family val="2"/>
      </rPr>
      <t xml:space="preserve">نقص الأدوات المخصصة لتحليل وتحسين الامتثال لاتفاقيات </t>
    </r>
    <r>
      <rPr>
        <sz val="10"/>
        <color rgb="FF1F2937"/>
        <rFont val="Calibri"/>
        <family val="2"/>
      </rPr>
      <t>SLAs</t>
    </r>
  </si>
  <si>
    <t>GAP-T-10</t>
  </si>
  <si>
    <t>تنوع أنظمة التشغيل</t>
  </si>
  <si>
    <t>GAP-T-11</t>
  </si>
  <si>
    <t>تفاوت في مواصفات الأجهزة</t>
  </si>
  <si>
    <t>GAP-T-12</t>
  </si>
  <si>
    <t>وجود أنظمة منتهية الدعم او على وشك الانتهاء</t>
  </si>
  <si>
    <t>GAP-T-13</t>
  </si>
  <si>
    <t>عدم التوثيق الكامل لبعض الخوادم</t>
  </si>
  <si>
    <t>GAP-T-14</t>
  </si>
  <si>
    <t>عدم دورة حياة واضحة للخوادم واستراتيجية لإعادة التدوير أو التحديث المستمر</t>
  </si>
  <si>
    <t>GAP-T-15</t>
  </si>
  <si>
    <t>تكرار الخوادم على نفس السحابة مما يحقق توافرية في حالة عمل السحابة ولا توجد هذه الخوادم على سحابة أخرى</t>
  </si>
  <si>
    <t>GAP-T-16</t>
  </si>
  <si>
    <r>
      <rPr>
        <sz val="10"/>
        <color rgb="FF1F2937"/>
        <rFont val="FreeSans"/>
        <family val="2"/>
      </rPr>
      <t xml:space="preserve">لا يوجد استخدام تقنية الحاويات </t>
    </r>
    <r>
      <rPr>
        <sz val="10"/>
        <color rgb="FF1F2937"/>
        <rFont val="Calibri"/>
        <family val="2"/>
      </rPr>
      <t>Containers</t>
    </r>
  </si>
  <si>
    <t>GAP-T-17</t>
  </si>
  <si>
    <r>
      <rPr>
        <sz val="10"/>
        <color rgb="FF1F2937"/>
        <rFont val="FreeSans"/>
        <family val="2"/>
      </rPr>
      <t xml:space="preserve">عدم وجود أتمتة متكاملة عبر </t>
    </r>
    <r>
      <rPr>
        <sz val="10"/>
        <color rgb="FF1F2937"/>
        <rFont val="Calibri"/>
        <family val="2"/>
      </rPr>
      <t xml:space="preserve">SDN </t>
    </r>
    <r>
      <rPr>
        <sz val="10"/>
        <color rgb="FF1F2937"/>
        <rFont val="FreeSans"/>
        <family val="2"/>
      </rPr>
      <t>للتحكم الذكي في الشبكة</t>
    </r>
  </si>
  <si>
    <t>GAP-T-18</t>
  </si>
  <si>
    <r>
      <rPr>
        <sz val="10"/>
        <color rgb="FF1F2937"/>
        <rFont val="FreeSans"/>
        <family val="2"/>
      </rPr>
      <t xml:space="preserve">عدم استخدام تقنيات </t>
    </r>
    <r>
      <rPr>
        <sz val="10"/>
        <color rgb="FF1F2937"/>
        <rFont val="Calibri"/>
        <family val="2"/>
      </rPr>
      <t>SOAR (</t>
    </r>
    <r>
      <rPr>
        <sz val="10"/>
        <color rgb="FF1F2937"/>
        <rFont val="FreeSans"/>
        <family val="2"/>
      </rPr>
      <t>تنسيق الأمان والتشغيل الآلي والاستجابة</t>
    </r>
    <r>
      <rPr>
        <sz val="10"/>
        <color rgb="FF1F2937"/>
        <rFont val="Calibri"/>
        <family val="2"/>
      </rPr>
      <t xml:space="preserve">) </t>
    </r>
    <r>
      <rPr>
        <sz val="10"/>
        <color rgb="FF1F2937"/>
        <rFont val="FreeSans"/>
        <family val="2"/>
      </rPr>
      <t xml:space="preserve">داخل </t>
    </r>
    <r>
      <rPr>
        <sz val="10"/>
        <color rgb="FF1F2937"/>
        <rFont val="Calibri"/>
        <family val="2"/>
      </rPr>
      <t>SOC.</t>
    </r>
  </si>
  <si>
    <t>GAP-T-19</t>
  </si>
  <si>
    <t>وجود بعض مراكز البيانات لا تدعم المرافق الأساسية</t>
  </si>
  <si>
    <t>GAP-T-20</t>
  </si>
  <si>
    <r>
      <rPr>
        <sz val="10"/>
        <color rgb="FF1F2937"/>
        <rFont val="FreeSans"/>
        <family val="2"/>
      </rPr>
      <t xml:space="preserve">عدم توفر خدمة نشر وإدارة التكوين التلقائي </t>
    </r>
    <r>
      <rPr>
        <sz val="10"/>
        <color rgb="FF1F2937"/>
        <rFont val="Calibri"/>
        <family val="2"/>
      </rPr>
      <t xml:space="preserve">Automation </t>
    </r>
    <r>
      <rPr>
        <sz val="10"/>
        <color rgb="FF1F2937"/>
        <rFont val="FreeSans"/>
        <family val="2"/>
      </rPr>
      <t>مما يؤدي إلى تباطؤ عمليات النشر</t>
    </r>
  </si>
  <si>
    <r>
      <t xml:space="preserve">تأمين خدمة الرسائل النصية لهيئة تقويم التعليم والتدريب </t>
    </r>
    <r>
      <rPr>
        <sz val="9"/>
        <color rgb="FF1F2937"/>
        <rFont val="Calibri"/>
        <family val="2"/>
      </rPr>
      <t>(</t>
    </r>
    <r>
      <rPr>
        <sz val="9"/>
        <color rgb="FF1F2937"/>
        <rFont val="FreeSans"/>
        <family val="2"/>
      </rPr>
      <t>تجديد العقد</t>
    </r>
    <r>
      <rPr>
        <sz val="9"/>
        <color rgb="FF1F2937"/>
        <rFont val="Calibri"/>
        <family val="2"/>
      </rPr>
      <t>)</t>
    </r>
  </si>
  <si>
    <t xml:space="preserve">المتطلبات المؤسسية </t>
  </si>
  <si>
    <t xml:space="preserve">الفجوات المؤسسية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</si>
</sst>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13">
    <font>
      <sz val="11"/>
      <color theme="1"/>
      <name val="Calibri"/>
      <family val="2"/>
      <charset val="1"/>
    </font>
    <font>
      <b/>
      <sz val="13"/>
      <color rgb="FFFFFFFF"/>
      <name val="FreeSans"/>
      <family val="2"/>
    </font>
    <font>
      <sz val="10"/>
      <color rgb="FF1F2937"/>
      <name val="FreeSans"/>
      <family val="2"/>
    </font>
    <font>
      <sz val="10"/>
      <color rgb="FF1F2937"/>
      <name val="Calibri"/>
      <family val="2"/>
    </font>
    <font>
      <b/>
      <sz val="11"/>
      <color rgb="FFFFFFFF"/>
      <name val="FreeSans"/>
      <family val="2"/>
    </font>
    <font>
      <b/>
      <sz val="11"/>
      <color rgb="FFFFFFFF"/>
      <name val="Calibri"/>
      <family val="2"/>
    </font>
    <font>
      <sz val="9"/>
      <color rgb="FF1F2937"/>
      <name val="Calibri"/>
      <family val="2"/>
    </font>
    <font>
      <sz val="9"/>
      <color rgb="FF1F2937"/>
      <name val="FreeSans"/>
      <family val="2"/>
    </font>
    <font>
      <b/>
      <sz val="10"/>
      <color rgb="FFFFFFFF"/>
      <name val="FreeSans"/>
      <family val="2"/>
    </font>
    <font>
      <b/>
      <sz val="12"/>
      <color rgb="FFFFFFFF"/>
      <name val="FreeSans"/>
      <family val="2"/>
    </font>
    <font>
      <b/>
      <sz val="13"/>
      <color rgb="FFFFFFFF"/>
      <name val="Calibri"/>
      <family val="2"/>
    </font>
    <font>
      <b/>
      <sz val="10"/>
      <color rgb="FF1F2937"/>
      <name val="Calibri"/>
      <family val="2"/>
    </font>
    <font>
      <b/>
      <sz val="9"/>
      <color rgb="FFFFFFFF"/>
      <name val="FreeSans"/>
      <family val="2"/>
    </font>
  </fonts>
  <fills count="10">
    <fill>
      <patternFill patternType="none"/>
    </fill>
    <fill>
      <patternFill patternType="gray125"/>
    </fill>
    <fill>
      <patternFill patternType="solid">
        <fgColor rgb="FF1E3A5F"/>
        <bgColor rgb="FF1F2937"/>
      </patternFill>
    </fill>
    <fill>
      <patternFill patternType="solid">
        <fgColor rgb="FF0E7C7B"/>
        <bgColor rgb="FF008080"/>
      </patternFill>
    </fill>
    <fill>
      <patternFill patternType="solid">
        <fgColor rgb="FFF2F6FA"/>
        <bgColor rgb="FFFFF9E6"/>
      </patternFill>
    </fill>
    <fill>
      <patternFill patternType="solid">
        <fgColor rgb="FFFFF9E6"/>
        <bgColor rgb="FFFFFFFF"/>
      </patternFill>
    </fill>
    <fill>
      <patternFill patternType="solid">
        <fgColor rgb="FF10B981"/>
        <bgColor rgb="FF33CCCC"/>
      </patternFill>
    </fill>
    <fill>
      <patternFill patternType="solid">
        <fgColor rgb="FF5D5FEF"/>
        <bgColor rgb="FF6B7280"/>
      </patternFill>
    </fill>
    <fill>
      <patternFill patternType="solid">
        <fgColor rgb="FFEC4899"/>
        <bgColor rgb="FF993366"/>
      </patternFill>
    </fill>
    <fill>
      <patternFill patternType="solid">
        <fgColor rgb="FFF59E0B"/>
        <bgColor rgb="FFD4A017"/>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s>
  <cellStyleXfs count="1">
    <xf numFmtId="0" fontId="0" fillId="0" borderId="0"/>
  </cellStyleXfs>
  <cellXfs count="43">
    <xf numFmtId="0" fontId="0" fillId="0" borderId="0" xfId="0"/>
    <xf numFmtId="0" fontId="1" fillId="2" borderId="2" xfId="0" applyFont="1" applyFill="1" applyBorder="1" applyAlignment="1">
      <alignment horizontal="center" vertical="center" wrapText="1" readingOrder="2"/>
    </xf>
    <xf numFmtId="0" fontId="9" fillId="3" borderId="0" xfId="0" applyFont="1" applyFill="1" applyAlignment="1">
      <alignment horizontal="center" vertical="center" readingOrder="2"/>
    </xf>
    <xf numFmtId="0" fontId="4" fillId="2" borderId="1" xfId="0" applyFont="1" applyFill="1" applyBorder="1" applyAlignment="1">
      <alignment horizontal="center" vertical="center" wrapText="1" readingOrder="2"/>
    </xf>
    <xf numFmtId="0" fontId="6" fillId="4" borderId="1" xfId="0" applyFont="1" applyFill="1" applyBorder="1" applyAlignment="1">
      <alignment horizontal="center" vertical="center" wrapText="1" readingOrder="2"/>
    </xf>
    <xf numFmtId="0" fontId="7" fillId="4" borderId="1" xfId="0" applyFont="1" applyFill="1" applyBorder="1" applyAlignment="1">
      <alignment horizontal="right" vertical="center" wrapText="1" readingOrder="2"/>
    </xf>
    <xf numFmtId="0" fontId="6" fillId="4" borderId="1" xfId="0" applyFont="1" applyFill="1" applyBorder="1" applyAlignment="1">
      <alignment horizontal="right" vertical="center" wrapText="1" readingOrder="2"/>
    </xf>
    <xf numFmtId="0" fontId="7" fillId="4" borderId="1" xfId="0" applyFont="1" applyFill="1" applyBorder="1" applyAlignment="1">
      <alignment horizontal="center" vertical="center" wrapText="1" readingOrder="2"/>
    </xf>
    <xf numFmtId="165" fontId="6" fillId="4" borderId="1" xfId="0" applyNumberFormat="1" applyFont="1" applyFill="1" applyBorder="1" applyAlignment="1">
      <alignment horizontal="center" vertical="center" wrapText="1" readingOrder="2"/>
    </xf>
    <xf numFmtId="3" fontId="6" fillId="4" borderId="1" xfId="0" applyNumberFormat="1" applyFont="1" applyFill="1" applyBorder="1" applyAlignment="1">
      <alignment horizontal="center" vertical="center" wrapText="1" readingOrder="2"/>
    </xf>
    <xf numFmtId="0" fontId="6" fillId="0" borderId="1" xfId="0" applyFont="1" applyBorder="1" applyAlignment="1">
      <alignment horizontal="center" vertical="center" wrapText="1" readingOrder="2"/>
    </xf>
    <xf numFmtId="0" fontId="7" fillId="0" borderId="1" xfId="0" applyFont="1" applyBorder="1" applyAlignment="1">
      <alignment horizontal="right" vertical="center" wrapText="1" readingOrder="2"/>
    </xf>
    <xf numFmtId="0" fontId="6" fillId="0" borderId="1" xfId="0" applyFont="1" applyBorder="1" applyAlignment="1">
      <alignment horizontal="right" vertical="center" wrapText="1" readingOrder="2"/>
    </xf>
    <xf numFmtId="0" fontId="7" fillId="5" borderId="1" xfId="0" applyFont="1" applyFill="1" applyBorder="1" applyAlignment="1">
      <alignment horizontal="right" vertical="center" wrapText="1" readingOrder="2"/>
    </xf>
    <xf numFmtId="0" fontId="7" fillId="0" borderId="1" xfId="0" applyFont="1" applyBorder="1" applyAlignment="1">
      <alignment horizontal="center" vertical="center" wrapText="1" readingOrder="2"/>
    </xf>
    <xf numFmtId="165" fontId="6" fillId="5" borderId="1" xfId="0" applyNumberFormat="1" applyFont="1" applyFill="1" applyBorder="1" applyAlignment="1">
      <alignment horizontal="center" vertical="center" wrapText="1" readingOrder="2"/>
    </xf>
    <xf numFmtId="3" fontId="6" fillId="0" borderId="1" xfId="0" applyNumberFormat="1" applyFont="1" applyBorder="1" applyAlignment="1">
      <alignment horizontal="center" vertical="center" wrapText="1" readingOrder="2"/>
    </xf>
    <xf numFmtId="165" fontId="6" fillId="0" borderId="1" xfId="0" applyNumberFormat="1" applyFont="1" applyBorder="1" applyAlignment="1">
      <alignment horizontal="center" vertical="center" wrapText="1" readingOrder="2"/>
    </xf>
    <xf numFmtId="0" fontId="6" fillId="5" borderId="1" xfId="0" applyFont="1" applyFill="1" applyBorder="1" applyAlignment="1">
      <alignment horizontal="right" vertical="center" wrapText="1" readingOrder="2"/>
    </xf>
    <xf numFmtId="0" fontId="5" fillId="3" borderId="1" xfId="0" applyFont="1" applyFill="1" applyBorder="1" applyAlignment="1">
      <alignment horizontal="center" vertical="center" wrapText="1" readingOrder="2"/>
    </xf>
    <xf numFmtId="0" fontId="4" fillId="3" borderId="1" xfId="0" applyFont="1" applyFill="1" applyBorder="1" applyAlignment="1">
      <alignment horizontal="center" vertical="center" wrapText="1" readingOrder="2"/>
    </xf>
    <xf numFmtId="0" fontId="3" fillId="0" borderId="1" xfId="0" applyFont="1" applyBorder="1" applyAlignment="1">
      <alignment horizontal="center" vertical="center" wrapText="1" readingOrder="2"/>
    </xf>
    <xf numFmtId="0" fontId="3" fillId="0" borderId="1" xfId="0" applyFont="1" applyBorder="1" applyAlignment="1">
      <alignment horizontal="right" vertical="center" wrapText="1" readingOrder="2"/>
    </xf>
    <xf numFmtId="3" fontId="3" fillId="0" borderId="1" xfId="0" applyNumberFormat="1" applyFont="1" applyBorder="1" applyAlignment="1">
      <alignment horizontal="center" vertical="center" wrapText="1" readingOrder="2"/>
    </xf>
    <xf numFmtId="0" fontId="3" fillId="4" borderId="1" xfId="0" applyFont="1" applyFill="1" applyBorder="1" applyAlignment="1">
      <alignment horizontal="center" vertical="center" wrapText="1" readingOrder="2"/>
    </xf>
    <xf numFmtId="0" fontId="2" fillId="4" borderId="1" xfId="0" applyFont="1" applyFill="1" applyBorder="1" applyAlignment="1">
      <alignment horizontal="right" vertical="center" wrapText="1" readingOrder="2"/>
    </xf>
    <xf numFmtId="3" fontId="3" fillId="4" borderId="1" xfId="0" applyNumberFormat="1" applyFont="1" applyFill="1" applyBorder="1" applyAlignment="1">
      <alignment horizontal="center" vertical="center" wrapText="1" readingOrder="2"/>
    </xf>
    <xf numFmtId="0" fontId="2" fillId="0" borderId="1" xfId="0" applyFont="1" applyBorder="1" applyAlignment="1">
      <alignment horizontal="right" vertical="center" wrapText="1" readingOrder="2"/>
    </xf>
    <xf numFmtId="0" fontId="5" fillId="2" borderId="1" xfId="0" applyFont="1" applyFill="1" applyBorder="1" applyAlignment="1">
      <alignment horizontal="center" vertical="center" readingOrder="2"/>
    </xf>
    <xf numFmtId="0" fontId="4" fillId="2" borderId="1" xfId="0" applyFont="1" applyFill="1" applyBorder="1" applyAlignment="1">
      <alignment horizontal="right" vertical="center" readingOrder="2"/>
    </xf>
    <xf numFmtId="3" fontId="5" fillId="2" borderId="1" xfId="0" applyNumberFormat="1" applyFont="1" applyFill="1" applyBorder="1" applyAlignment="1">
      <alignment horizontal="center" vertical="center" readingOrder="2"/>
    </xf>
    <xf numFmtId="0" fontId="11" fillId="0" borderId="1" xfId="0" applyFont="1" applyBorder="1" applyAlignment="1">
      <alignment horizontal="center" vertical="center" wrapText="1" readingOrder="2"/>
    </xf>
    <xf numFmtId="0" fontId="11" fillId="4" borderId="1" xfId="0" applyFont="1" applyFill="1" applyBorder="1" applyAlignment="1">
      <alignment horizontal="center" vertical="center" wrapText="1" readingOrder="2"/>
    </xf>
    <xf numFmtId="0" fontId="8" fillId="6" borderId="1" xfId="0" applyFont="1" applyFill="1" applyBorder="1" applyAlignment="1">
      <alignment horizontal="center" vertical="center" wrapText="1" readingOrder="2"/>
    </xf>
    <xf numFmtId="0" fontId="8" fillId="7" borderId="1" xfId="0" applyFont="1" applyFill="1" applyBorder="1" applyAlignment="1">
      <alignment horizontal="center" vertical="center" wrapText="1" readingOrder="2"/>
    </xf>
    <xf numFmtId="0" fontId="8" fillId="8" borderId="1" xfId="0" applyFont="1" applyFill="1" applyBorder="1" applyAlignment="1">
      <alignment horizontal="center" vertical="center" wrapText="1" readingOrder="2"/>
    </xf>
    <xf numFmtId="0" fontId="8" fillId="9" borderId="1" xfId="0" applyFont="1" applyFill="1" applyBorder="1" applyAlignment="1">
      <alignment horizontal="center" vertical="center" wrapText="1" readingOrder="2"/>
    </xf>
    <xf numFmtId="0" fontId="12" fillId="6" borderId="1" xfId="0" applyFont="1" applyFill="1" applyBorder="1" applyAlignment="1">
      <alignment horizontal="right" vertical="center" wrapText="1" readingOrder="2"/>
    </xf>
    <xf numFmtId="0" fontId="12" fillId="7" borderId="1" xfId="0" applyFont="1" applyFill="1" applyBorder="1" applyAlignment="1">
      <alignment horizontal="right" vertical="center" wrapText="1" readingOrder="2"/>
    </xf>
    <xf numFmtId="0" fontId="12" fillId="8" borderId="1" xfId="0" applyFont="1" applyFill="1" applyBorder="1" applyAlignment="1">
      <alignment horizontal="right" vertical="center" wrapText="1" readingOrder="2"/>
    </xf>
    <xf numFmtId="0" fontId="12" fillId="9" borderId="1" xfId="0" applyFont="1" applyFill="1" applyBorder="1" applyAlignment="1">
      <alignment horizontal="right" vertical="center" wrapText="1" readingOrder="2"/>
    </xf>
    <xf numFmtId="14" fontId="6" fillId="4" borderId="1" xfId="0" applyNumberFormat="1" applyFont="1" applyFill="1" applyBorder="1" applyAlignment="1">
      <alignment horizontal="center" vertical="center" wrapText="1" readingOrder="2"/>
    </xf>
    <xf numFmtId="14" fontId="6" fillId="0" borderId="1" xfId="0" applyNumberFormat="1"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7B"/>
      <rgbColor rgb="FFC0C0C0"/>
      <rgbColor rgb="FF808080"/>
      <rgbColor rgb="FF9999FF"/>
      <rgbColor rgb="FF993366"/>
      <rgbColor rgb="FFFFF3CD"/>
      <rgbColor rgb="FFF2F6FA"/>
      <rgbColor rgb="FF660066"/>
      <rgbColor rgb="FFEC4899"/>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9E6"/>
      <rgbColor rgb="FF99CCFF"/>
      <rgbColor rgb="FFFF99CC"/>
      <rgbColor rgb="FFCC99FF"/>
      <rgbColor rgb="FFFFCC99"/>
      <rgbColor rgb="FF5D5FEF"/>
      <rgbColor rgb="FF33CCCC"/>
      <rgbColor rgb="FF99CC00"/>
      <rgbColor rgb="FFD4A017"/>
      <rgbColor rgb="FFF59E0B"/>
      <rgbColor rgb="FFFF6600"/>
      <rgbColor rgb="FF6B7280"/>
      <rgbColor rgb="FF969696"/>
      <rgbColor rgb="FF1E3A5F"/>
      <rgbColor rgb="FF10B981"/>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26"/>
  <sheetViews>
    <sheetView rightToLeft="1" tabSelected="1" zoomScaleNormal="100" workbookViewId="0">
      <pane xSplit="2" ySplit="1" topLeftCell="C2" activePane="bottomRight" state="frozen"/>
      <selection pane="topRight" activeCell="C1" sqref="C1"/>
      <selection pane="bottomLeft" activeCell="A2" sqref="A2"/>
      <selection pane="bottomRight" activeCell="D21" sqref="D21"/>
    </sheetView>
  </sheetViews>
  <sheetFormatPr defaultColWidth="8.6640625" defaultRowHeight="14.4"/>
  <cols>
    <col min="1" max="1" width="5" customWidth="1"/>
    <col min="2" max="2" width="44" customWidth="1"/>
    <col min="3" max="3" width="32" customWidth="1"/>
    <col min="4" max="4" width="89.6640625" bestFit="1" customWidth="1"/>
    <col min="5" max="5" width="38" customWidth="1"/>
    <col min="6" max="6" width="28" customWidth="1"/>
    <col min="7" max="7" width="22" customWidth="1"/>
    <col min="8" max="8" width="48" customWidth="1"/>
    <col min="9" max="9" width="46" customWidth="1"/>
    <col min="10" max="10" width="40" customWidth="1"/>
    <col min="11" max="11" width="28" customWidth="1"/>
    <col min="12" max="12" width="32" customWidth="1"/>
    <col min="13" max="13" width="20" customWidth="1"/>
    <col min="14" max="14" width="18" customWidth="1"/>
    <col min="15" max="18" width="14" customWidth="1"/>
    <col min="19" max="19" width="12" customWidth="1"/>
    <col min="20" max="20" width="16" customWidth="1"/>
  </cols>
  <sheetData>
    <row r="1" spans="1:20"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ht="45.6">
      <c r="A2" s="4">
        <v>1</v>
      </c>
      <c r="B2" s="5" t="s">
        <v>20</v>
      </c>
      <c r="C2" s="6" t="s">
        <v>21</v>
      </c>
      <c r="D2" s="6" t="s">
        <v>22</v>
      </c>
      <c r="E2" s="5" t="s">
        <v>23</v>
      </c>
      <c r="F2" s="6" t="s">
        <v>24</v>
      </c>
      <c r="G2" s="6" t="s">
        <v>25</v>
      </c>
      <c r="H2" s="5" t="s">
        <v>26</v>
      </c>
      <c r="I2" s="5" t="s">
        <v>27</v>
      </c>
      <c r="J2" s="5" t="s">
        <v>28</v>
      </c>
      <c r="K2" s="5" t="s">
        <v>29</v>
      </c>
      <c r="L2" s="6" t="s">
        <v>30</v>
      </c>
      <c r="M2" s="5" t="s">
        <v>31</v>
      </c>
      <c r="N2" s="7" t="s">
        <v>32</v>
      </c>
      <c r="O2" s="7" t="s">
        <v>33</v>
      </c>
      <c r="P2" s="41">
        <v>45778</v>
      </c>
      <c r="Q2" s="41">
        <v>46874</v>
      </c>
      <c r="R2" s="7" t="s">
        <v>34</v>
      </c>
      <c r="S2" s="8">
        <v>5</v>
      </c>
      <c r="T2" s="9">
        <v>2500000</v>
      </c>
    </row>
    <row r="3" spans="1:20" ht="67.5" customHeight="1">
      <c r="A3" s="10">
        <v>2</v>
      </c>
      <c r="B3" s="11" t="s">
        <v>35</v>
      </c>
      <c r="C3" s="12" t="s">
        <v>36</v>
      </c>
      <c r="D3" s="12" t="s">
        <v>37</v>
      </c>
      <c r="E3" s="12" t="s">
        <v>38</v>
      </c>
      <c r="F3" s="12" t="s">
        <v>39</v>
      </c>
      <c r="G3" s="12" t="s">
        <v>40</v>
      </c>
      <c r="H3" s="11" t="s">
        <v>41</v>
      </c>
      <c r="I3" s="13" t="s">
        <v>42</v>
      </c>
      <c r="J3" s="11" t="s">
        <v>43</v>
      </c>
      <c r="K3" s="12" t="s">
        <v>30</v>
      </c>
      <c r="L3" s="12" t="s">
        <v>30</v>
      </c>
      <c r="M3" s="13" t="s">
        <v>31</v>
      </c>
      <c r="N3" s="14" t="s">
        <v>32</v>
      </c>
      <c r="O3" s="14" t="s">
        <v>33</v>
      </c>
      <c r="P3" s="42">
        <v>46183</v>
      </c>
      <c r="Q3" s="42">
        <v>47300</v>
      </c>
      <c r="R3" s="14" t="s">
        <v>44</v>
      </c>
      <c r="S3" s="15">
        <v>0</v>
      </c>
      <c r="T3" s="16">
        <v>5000000</v>
      </c>
    </row>
    <row r="4" spans="1:20" ht="51.75" customHeight="1">
      <c r="A4" s="4">
        <v>3</v>
      </c>
      <c r="B4" s="5" t="s">
        <v>45</v>
      </c>
      <c r="C4" s="6" t="s">
        <v>36</v>
      </c>
      <c r="D4" s="6" t="s">
        <v>37</v>
      </c>
      <c r="E4" s="6" t="s">
        <v>46</v>
      </c>
      <c r="F4" s="6" t="s">
        <v>47</v>
      </c>
      <c r="G4" s="6" t="s">
        <v>40</v>
      </c>
      <c r="H4" s="5" t="s">
        <v>48</v>
      </c>
      <c r="I4" s="13" t="s">
        <v>42</v>
      </c>
      <c r="J4" s="5" t="s">
        <v>49</v>
      </c>
      <c r="K4" s="6" t="s">
        <v>30</v>
      </c>
      <c r="L4" s="6" t="s">
        <v>30</v>
      </c>
      <c r="M4" s="13" t="s">
        <v>31</v>
      </c>
      <c r="N4" s="7" t="s">
        <v>50</v>
      </c>
      <c r="O4" s="7" t="s">
        <v>33</v>
      </c>
      <c r="P4" s="41" t="s">
        <v>51</v>
      </c>
      <c r="Q4" s="41" t="s">
        <v>52</v>
      </c>
      <c r="R4" s="7" t="s">
        <v>34</v>
      </c>
      <c r="S4" s="8">
        <v>0</v>
      </c>
      <c r="T4" s="9">
        <v>10297790</v>
      </c>
    </row>
    <row r="5" spans="1:20" ht="118.5" customHeight="1">
      <c r="A5" s="10">
        <v>4</v>
      </c>
      <c r="B5" s="11" t="s">
        <v>53</v>
      </c>
      <c r="C5" s="12" t="s">
        <v>54</v>
      </c>
      <c r="D5" s="12" t="s">
        <v>55</v>
      </c>
      <c r="E5" s="11" t="s">
        <v>56</v>
      </c>
      <c r="F5" s="12" t="s">
        <v>57</v>
      </c>
      <c r="G5" s="12" t="s">
        <v>58</v>
      </c>
      <c r="H5" s="11" t="s">
        <v>59</v>
      </c>
      <c r="I5" s="11" t="s">
        <v>60</v>
      </c>
      <c r="J5" s="12" t="s">
        <v>30</v>
      </c>
      <c r="K5" s="11" t="s">
        <v>61</v>
      </c>
      <c r="L5" s="12" t="s">
        <v>30</v>
      </c>
      <c r="M5" s="11" t="s">
        <v>62</v>
      </c>
      <c r="N5" s="14" t="s">
        <v>32</v>
      </c>
      <c r="O5" s="14" t="s">
        <v>33</v>
      </c>
      <c r="P5" s="42">
        <v>46026</v>
      </c>
      <c r="Q5" s="42">
        <v>47122</v>
      </c>
      <c r="R5" s="14" t="s">
        <v>34</v>
      </c>
      <c r="S5" s="17">
        <v>0</v>
      </c>
      <c r="T5" s="16">
        <v>22668179</v>
      </c>
    </row>
    <row r="6" spans="1:20" ht="51.75" customHeight="1">
      <c r="A6" s="4">
        <v>5</v>
      </c>
      <c r="B6" s="5" t="s">
        <v>63</v>
      </c>
      <c r="C6" s="6" t="s">
        <v>64</v>
      </c>
      <c r="D6" s="6" t="s">
        <v>65</v>
      </c>
      <c r="E6" s="5" t="s">
        <v>66</v>
      </c>
      <c r="F6" s="6" t="s">
        <v>67</v>
      </c>
      <c r="G6" s="6" t="s">
        <v>68</v>
      </c>
      <c r="H6" s="5" t="s">
        <v>69</v>
      </c>
      <c r="I6" s="5" t="s">
        <v>70</v>
      </c>
      <c r="J6" s="5" t="s">
        <v>71</v>
      </c>
      <c r="K6" s="5" t="s">
        <v>61</v>
      </c>
      <c r="L6" s="5" t="s">
        <v>72</v>
      </c>
      <c r="M6" s="5" t="s">
        <v>31</v>
      </c>
      <c r="N6" s="7" t="s">
        <v>32</v>
      </c>
      <c r="O6" s="7" t="s">
        <v>33</v>
      </c>
      <c r="P6" s="41">
        <v>45420</v>
      </c>
      <c r="Q6" s="41" t="s">
        <v>73</v>
      </c>
      <c r="R6" s="7" t="s">
        <v>34</v>
      </c>
      <c r="S6" s="8">
        <v>80</v>
      </c>
      <c r="T6" s="9">
        <v>8126289.8499999996</v>
      </c>
    </row>
    <row r="7" spans="1:20" ht="51.75" customHeight="1">
      <c r="A7" s="10">
        <v>6</v>
      </c>
      <c r="B7" s="11" t="s">
        <v>74</v>
      </c>
      <c r="C7" s="12" t="s">
        <v>36</v>
      </c>
      <c r="D7" s="12" t="s">
        <v>37</v>
      </c>
      <c r="E7" s="12" t="s">
        <v>75</v>
      </c>
      <c r="F7" s="12" t="s">
        <v>39</v>
      </c>
      <c r="G7" s="12" t="s">
        <v>76</v>
      </c>
      <c r="H7" s="11" t="s">
        <v>77</v>
      </c>
      <c r="I7" s="13" t="s">
        <v>78</v>
      </c>
      <c r="J7" s="11" t="s">
        <v>79</v>
      </c>
      <c r="K7" s="12" t="s">
        <v>30</v>
      </c>
      <c r="L7" s="12" t="s">
        <v>30</v>
      </c>
      <c r="M7" s="13" t="s">
        <v>31</v>
      </c>
      <c r="N7" s="14" t="s">
        <v>32</v>
      </c>
      <c r="O7" s="14" t="s">
        <v>33</v>
      </c>
      <c r="P7" s="42" t="s">
        <v>80</v>
      </c>
      <c r="Q7" s="42" t="s">
        <v>81</v>
      </c>
      <c r="R7" s="14" t="s">
        <v>34</v>
      </c>
      <c r="S7" s="15"/>
      <c r="T7" s="16">
        <v>4483249.7</v>
      </c>
    </row>
    <row r="8" spans="1:20" ht="51.75" customHeight="1">
      <c r="A8" s="4">
        <v>7</v>
      </c>
      <c r="B8" s="5" t="s">
        <v>82</v>
      </c>
      <c r="C8" s="6" t="s">
        <v>83</v>
      </c>
      <c r="D8" s="6" t="s">
        <v>37</v>
      </c>
      <c r="E8" s="5" t="s">
        <v>23</v>
      </c>
      <c r="F8" s="6" t="s">
        <v>84</v>
      </c>
      <c r="G8" s="6" t="s">
        <v>85</v>
      </c>
      <c r="H8" s="5" t="s">
        <v>86</v>
      </c>
      <c r="I8" s="5" t="s">
        <v>87</v>
      </c>
      <c r="J8" s="5" t="s">
        <v>88</v>
      </c>
      <c r="K8" s="5" t="s">
        <v>29</v>
      </c>
      <c r="L8" s="5" t="s">
        <v>89</v>
      </c>
      <c r="M8" s="5" t="s">
        <v>31</v>
      </c>
      <c r="N8" s="7" t="s">
        <v>32</v>
      </c>
      <c r="O8" s="7" t="s">
        <v>33</v>
      </c>
      <c r="P8" s="41">
        <v>45631</v>
      </c>
      <c r="Q8" s="41">
        <v>46726</v>
      </c>
      <c r="R8" s="7" t="s">
        <v>34</v>
      </c>
      <c r="S8" s="8">
        <v>0</v>
      </c>
      <c r="T8" s="9">
        <v>5651033.8499999996</v>
      </c>
    </row>
    <row r="9" spans="1:20" ht="67.5" customHeight="1">
      <c r="A9" s="10">
        <v>8</v>
      </c>
      <c r="B9" s="11" t="s">
        <v>90</v>
      </c>
      <c r="C9" s="12" t="s">
        <v>91</v>
      </c>
      <c r="D9" s="12" t="s">
        <v>92</v>
      </c>
      <c r="E9" s="12" t="s">
        <v>46</v>
      </c>
      <c r="F9" s="12" t="s">
        <v>93</v>
      </c>
      <c r="G9" s="12" t="s">
        <v>94</v>
      </c>
      <c r="H9" s="11" t="s">
        <v>95</v>
      </c>
      <c r="I9" s="13" t="s">
        <v>96</v>
      </c>
      <c r="J9" s="11" t="s">
        <v>97</v>
      </c>
      <c r="K9" s="12" t="s">
        <v>30</v>
      </c>
      <c r="L9" s="12" t="s">
        <v>30</v>
      </c>
      <c r="M9" s="13" t="s">
        <v>98</v>
      </c>
      <c r="N9" s="14" t="s">
        <v>32</v>
      </c>
      <c r="O9" s="14" t="s">
        <v>99</v>
      </c>
      <c r="P9" s="42">
        <v>46478</v>
      </c>
      <c r="Q9" s="42">
        <v>47574</v>
      </c>
      <c r="R9" s="14" t="s">
        <v>44</v>
      </c>
      <c r="S9" s="15">
        <v>0</v>
      </c>
      <c r="T9" s="16">
        <v>2305980</v>
      </c>
    </row>
    <row r="10" spans="1:20" ht="67.5" customHeight="1">
      <c r="A10" s="4">
        <v>9</v>
      </c>
      <c r="B10" s="5" t="s">
        <v>100</v>
      </c>
      <c r="C10" s="6" t="s">
        <v>101</v>
      </c>
      <c r="D10" s="6" t="s">
        <v>102</v>
      </c>
      <c r="E10" s="5" t="s">
        <v>103</v>
      </c>
      <c r="F10" s="6" t="s">
        <v>104</v>
      </c>
      <c r="G10" s="6" t="s">
        <v>105</v>
      </c>
      <c r="H10" s="5" t="s">
        <v>106</v>
      </c>
      <c r="I10" s="5" t="s">
        <v>107</v>
      </c>
      <c r="J10" s="5" t="s">
        <v>108</v>
      </c>
      <c r="K10" s="5" t="s">
        <v>61</v>
      </c>
      <c r="L10" s="5" t="s">
        <v>109</v>
      </c>
      <c r="M10" s="5" t="s">
        <v>98</v>
      </c>
      <c r="N10" s="7" t="s">
        <v>32</v>
      </c>
      <c r="O10" s="7" t="s">
        <v>33</v>
      </c>
      <c r="P10" s="41">
        <v>46753</v>
      </c>
      <c r="Q10" s="41">
        <v>47119</v>
      </c>
      <c r="R10" s="7" t="s">
        <v>44</v>
      </c>
      <c r="S10" s="8">
        <v>100</v>
      </c>
      <c r="T10" s="9">
        <v>11488500</v>
      </c>
    </row>
    <row r="11" spans="1:20" ht="67.5" customHeight="1">
      <c r="A11" s="10">
        <v>10</v>
      </c>
      <c r="B11" s="11" t="s">
        <v>1112</v>
      </c>
      <c r="C11" s="12" t="s">
        <v>110</v>
      </c>
      <c r="D11" s="12" t="s">
        <v>92</v>
      </c>
      <c r="E11" s="12" t="s">
        <v>111</v>
      </c>
      <c r="F11" s="12" t="s">
        <v>112</v>
      </c>
      <c r="G11" s="12" t="s">
        <v>113</v>
      </c>
      <c r="H11" s="11" t="s">
        <v>114</v>
      </c>
      <c r="I11" s="13" t="s">
        <v>115</v>
      </c>
      <c r="J11" s="11" t="s">
        <v>116</v>
      </c>
      <c r="K11" s="12" t="s">
        <v>30</v>
      </c>
      <c r="L11" s="12" t="s">
        <v>30</v>
      </c>
      <c r="M11" s="13" t="s">
        <v>117</v>
      </c>
      <c r="N11" s="14" t="s">
        <v>32</v>
      </c>
      <c r="O11" s="14" t="s">
        <v>118</v>
      </c>
      <c r="P11" s="42" t="s">
        <v>119</v>
      </c>
      <c r="Q11" s="42" t="s">
        <v>120</v>
      </c>
      <c r="R11" s="14" t="s">
        <v>44</v>
      </c>
      <c r="S11" s="15">
        <v>0</v>
      </c>
      <c r="T11" s="16">
        <v>20000000</v>
      </c>
    </row>
    <row r="12" spans="1:20" ht="118.5" customHeight="1">
      <c r="A12" s="4">
        <v>11</v>
      </c>
      <c r="B12" s="5" t="s">
        <v>121</v>
      </c>
      <c r="C12" s="6" t="s">
        <v>21</v>
      </c>
      <c r="D12" s="6" t="s">
        <v>122</v>
      </c>
      <c r="E12" s="6" t="s">
        <v>75</v>
      </c>
      <c r="F12" s="6" t="s">
        <v>123</v>
      </c>
      <c r="G12" s="6" t="s">
        <v>124</v>
      </c>
      <c r="H12" s="5" t="s">
        <v>125</v>
      </c>
      <c r="I12" s="13" t="s">
        <v>126</v>
      </c>
      <c r="J12" s="5" t="s">
        <v>127</v>
      </c>
      <c r="K12" s="6" t="s">
        <v>30</v>
      </c>
      <c r="L12" s="6" t="s">
        <v>30</v>
      </c>
      <c r="M12" s="13" t="s">
        <v>128</v>
      </c>
      <c r="N12" s="7" t="s">
        <v>32</v>
      </c>
      <c r="O12" s="7" t="s">
        <v>118</v>
      </c>
      <c r="P12" s="41">
        <v>47209</v>
      </c>
      <c r="Q12" s="41">
        <v>47939</v>
      </c>
      <c r="R12" s="7" t="s">
        <v>44</v>
      </c>
      <c r="S12" s="15">
        <v>0</v>
      </c>
      <c r="T12" s="9">
        <v>120000000</v>
      </c>
    </row>
    <row r="13" spans="1:20" ht="102" customHeight="1">
      <c r="A13" s="10">
        <v>12</v>
      </c>
      <c r="B13" s="11" t="s">
        <v>129</v>
      </c>
      <c r="C13" s="12" t="s">
        <v>130</v>
      </c>
      <c r="D13" s="12" t="s">
        <v>22</v>
      </c>
      <c r="E13" s="12" t="s">
        <v>46</v>
      </c>
      <c r="F13" s="12" t="s">
        <v>131</v>
      </c>
      <c r="G13" s="12" t="s">
        <v>132</v>
      </c>
      <c r="H13" s="11" t="s">
        <v>133</v>
      </c>
      <c r="I13" s="13" t="s">
        <v>78</v>
      </c>
      <c r="J13" s="12" t="s">
        <v>30</v>
      </c>
      <c r="K13" s="12" t="s">
        <v>30</v>
      </c>
      <c r="L13" s="12" t="s">
        <v>30</v>
      </c>
      <c r="M13" s="13" t="s">
        <v>134</v>
      </c>
      <c r="N13" s="14" t="s">
        <v>32</v>
      </c>
      <c r="O13" s="14" t="s">
        <v>33</v>
      </c>
      <c r="P13" s="42">
        <v>46753</v>
      </c>
      <c r="Q13" s="42">
        <v>47849</v>
      </c>
      <c r="R13" s="14" t="s">
        <v>44</v>
      </c>
      <c r="S13" s="17">
        <v>0</v>
      </c>
      <c r="T13" s="16">
        <v>6500000</v>
      </c>
    </row>
    <row r="14" spans="1:20" ht="84.75" customHeight="1">
      <c r="A14" s="4">
        <v>13</v>
      </c>
      <c r="B14" s="5" t="s">
        <v>135</v>
      </c>
      <c r="C14" s="6" t="s">
        <v>21</v>
      </c>
      <c r="D14" s="6" t="s">
        <v>136</v>
      </c>
      <c r="E14" s="5" t="s">
        <v>137</v>
      </c>
      <c r="F14" s="6" t="s">
        <v>138</v>
      </c>
      <c r="G14" s="6" t="s">
        <v>139</v>
      </c>
      <c r="H14" s="5" t="s">
        <v>140</v>
      </c>
      <c r="I14" s="5" t="s">
        <v>141</v>
      </c>
      <c r="J14" s="6" t="s">
        <v>30</v>
      </c>
      <c r="K14" s="5" t="s">
        <v>142</v>
      </c>
      <c r="L14" s="6" t="s">
        <v>30</v>
      </c>
      <c r="M14" s="5" t="s">
        <v>98</v>
      </c>
      <c r="N14" s="7" t="s">
        <v>32</v>
      </c>
      <c r="O14" s="7" t="s">
        <v>33</v>
      </c>
      <c r="P14" s="41">
        <v>45787</v>
      </c>
      <c r="Q14" s="41">
        <v>47613</v>
      </c>
      <c r="R14" s="7" t="s">
        <v>34</v>
      </c>
      <c r="S14" s="8">
        <v>0</v>
      </c>
      <c r="T14" s="9">
        <v>376117582.91000003</v>
      </c>
    </row>
    <row r="15" spans="1:20" ht="84.75" customHeight="1">
      <c r="A15" s="10">
        <v>14</v>
      </c>
      <c r="B15" s="11" t="s">
        <v>143</v>
      </c>
      <c r="C15" s="12" t="s">
        <v>110</v>
      </c>
      <c r="D15" s="12" t="s">
        <v>65</v>
      </c>
      <c r="E15" s="12" t="s">
        <v>75</v>
      </c>
      <c r="F15" s="12" t="s">
        <v>144</v>
      </c>
      <c r="G15" s="12" t="s">
        <v>145</v>
      </c>
      <c r="H15" s="11" t="s">
        <v>146</v>
      </c>
      <c r="I15" s="13" t="s">
        <v>42</v>
      </c>
      <c r="J15" s="11" t="s">
        <v>147</v>
      </c>
      <c r="K15" s="12" t="s">
        <v>30</v>
      </c>
      <c r="L15" s="12" t="s">
        <v>30</v>
      </c>
      <c r="M15" s="13" t="s">
        <v>148</v>
      </c>
      <c r="N15" s="14" t="s">
        <v>32</v>
      </c>
      <c r="O15" s="14" t="s">
        <v>33</v>
      </c>
      <c r="P15" s="42" t="s">
        <v>149</v>
      </c>
      <c r="Q15" s="42">
        <v>47574</v>
      </c>
      <c r="R15" s="14" t="s">
        <v>44</v>
      </c>
      <c r="S15" s="15">
        <v>0</v>
      </c>
      <c r="T15" s="16">
        <v>3982680</v>
      </c>
    </row>
    <row r="16" spans="1:20" ht="84.75" customHeight="1">
      <c r="A16" s="4">
        <v>15</v>
      </c>
      <c r="B16" s="5" t="s">
        <v>150</v>
      </c>
      <c r="C16" s="6" t="s">
        <v>110</v>
      </c>
      <c r="D16" s="6" t="s">
        <v>151</v>
      </c>
      <c r="E16" s="6" t="s">
        <v>75</v>
      </c>
      <c r="F16" s="6" t="s">
        <v>144</v>
      </c>
      <c r="G16" s="6" t="s">
        <v>152</v>
      </c>
      <c r="H16" s="5" t="s">
        <v>146</v>
      </c>
      <c r="I16" s="13" t="s">
        <v>78</v>
      </c>
      <c r="J16" s="5" t="s">
        <v>153</v>
      </c>
      <c r="K16" s="6" t="s">
        <v>30</v>
      </c>
      <c r="L16" s="6" t="s">
        <v>30</v>
      </c>
      <c r="M16" s="13" t="s">
        <v>154</v>
      </c>
      <c r="N16" s="7" t="s">
        <v>32</v>
      </c>
      <c r="O16" s="7" t="s">
        <v>33</v>
      </c>
      <c r="P16" s="41" t="s">
        <v>155</v>
      </c>
      <c r="Q16" s="41" t="s">
        <v>156</v>
      </c>
      <c r="R16" s="7" t="s">
        <v>34</v>
      </c>
      <c r="S16" s="15"/>
      <c r="T16" s="9">
        <v>3982680</v>
      </c>
    </row>
    <row r="17" spans="1:20" ht="51.75" customHeight="1">
      <c r="A17" s="10">
        <v>16</v>
      </c>
      <c r="B17" s="11" t="s">
        <v>157</v>
      </c>
      <c r="C17" s="12" t="s">
        <v>110</v>
      </c>
      <c r="D17" s="12" t="s">
        <v>136</v>
      </c>
      <c r="E17" s="11" t="s">
        <v>158</v>
      </c>
      <c r="F17" s="12" t="s">
        <v>159</v>
      </c>
      <c r="G17" s="12" t="s">
        <v>160</v>
      </c>
      <c r="H17" s="11" t="s">
        <v>161</v>
      </c>
      <c r="I17" s="11" t="s">
        <v>162</v>
      </c>
      <c r="J17" s="11" t="s">
        <v>163</v>
      </c>
      <c r="K17" s="11" t="s">
        <v>142</v>
      </c>
      <c r="L17" s="12" t="s">
        <v>30</v>
      </c>
      <c r="M17" s="11" t="s">
        <v>154</v>
      </c>
      <c r="N17" s="14" t="s">
        <v>32</v>
      </c>
      <c r="O17" s="14" t="s">
        <v>33</v>
      </c>
      <c r="P17" s="42" t="s">
        <v>164</v>
      </c>
      <c r="Q17" s="42" t="s">
        <v>165</v>
      </c>
      <c r="R17" s="14" t="s">
        <v>34</v>
      </c>
      <c r="S17" s="17">
        <v>0</v>
      </c>
      <c r="T17" s="16">
        <v>6000000</v>
      </c>
    </row>
    <row r="18" spans="1:20" ht="51.75" customHeight="1">
      <c r="A18" s="4">
        <v>17</v>
      </c>
      <c r="B18" s="5" t="s">
        <v>166</v>
      </c>
      <c r="C18" s="6" t="s">
        <v>167</v>
      </c>
      <c r="D18" s="6" t="s">
        <v>168</v>
      </c>
      <c r="E18" s="5" t="s">
        <v>169</v>
      </c>
      <c r="F18" s="6" t="s">
        <v>170</v>
      </c>
      <c r="G18" s="6" t="s">
        <v>152</v>
      </c>
      <c r="H18" s="5" t="s">
        <v>171</v>
      </c>
      <c r="I18" s="5" t="s">
        <v>172</v>
      </c>
      <c r="J18" s="5" t="s">
        <v>173</v>
      </c>
      <c r="K18" s="5" t="s">
        <v>61</v>
      </c>
      <c r="L18" s="5" t="s">
        <v>174</v>
      </c>
      <c r="M18" s="5" t="s">
        <v>175</v>
      </c>
      <c r="N18" s="7" t="s">
        <v>32</v>
      </c>
      <c r="O18" s="7" t="s">
        <v>99</v>
      </c>
      <c r="P18" s="41">
        <v>44984</v>
      </c>
      <c r="Q18" s="41">
        <v>46080</v>
      </c>
      <c r="R18" s="7" t="s">
        <v>176</v>
      </c>
      <c r="S18" s="8">
        <v>100</v>
      </c>
      <c r="T18" s="9">
        <v>443599</v>
      </c>
    </row>
    <row r="19" spans="1:20" ht="51.75" customHeight="1">
      <c r="A19" s="10">
        <v>18</v>
      </c>
      <c r="B19" s="11" t="s">
        <v>177</v>
      </c>
      <c r="C19" s="12" t="s">
        <v>36</v>
      </c>
      <c r="D19" s="12" t="s">
        <v>178</v>
      </c>
      <c r="E19" s="12" t="s">
        <v>46</v>
      </c>
      <c r="F19" s="12" t="s">
        <v>179</v>
      </c>
      <c r="G19" s="12" t="s">
        <v>180</v>
      </c>
      <c r="H19" s="11" t="s">
        <v>48</v>
      </c>
      <c r="I19" s="13" t="s">
        <v>126</v>
      </c>
      <c r="J19" s="12" t="s">
        <v>30</v>
      </c>
      <c r="K19" s="12" t="s">
        <v>30</v>
      </c>
      <c r="L19" s="12" t="s">
        <v>30</v>
      </c>
      <c r="M19" s="13" t="s">
        <v>128</v>
      </c>
      <c r="N19" s="14" t="s">
        <v>32</v>
      </c>
      <c r="O19" s="14" t="s">
        <v>99</v>
      </c>
      <c r="P19" s="42">
        <v>45539</v>
      </c>
      <c r="Q19" s="42">
        <v>46634</v>
      </c>
      <c r="R19" s="14" t="s">
        <v>34</v>
      </c>
      <c r="S19" s="17">
        <v>0</v>
      </c>
      <c r="T19" s="16">
        <v>726701.1</v>
      </c>
    </row>
    <row r="20" spans="1:20" ht="135.75" customHeight="1">
      <c r="A20" s="4">
        <v>19</v>
      </c>
      <c r="B20" s="5" t="s">
        <v>181</v>
      </c>
      <c r="C20" s="6" t="s">
        <v>182</v>
      </c>
      <c r="D20" s="6" t="s">
        <v>183</v>
      </c>
      <c r="E20" s="5" t="s">
        <v>184</v>
      </c>
      <c r="F20" s="6" t="s">
        <v>185</v>
      </c>
      <c r="G20" s="6" t="s">
        <v>186</v>
      </c>
      <c r="H20" s="5" t="s">
        <v>187</v>
      </c>
      <c r="I20" s="5" t="s">
        <v>188</v>
      </c>
      <c r="J20" s="5" t="s">
        <v>189</v>
      </c>
      <c r="K20" s="5" t="s">
        <v>61</v>
      </c>
      <c r="L20" s="5" t="s">
        <v>190</v>
      </c>
      <c r="M20" s="5" t="s">
        <v>62</v>
      </c>
      <c r="N20" s="7" t="s">
        <v>32</v>
      </c>
      <c r="O20" s="7" t="s">
        <v>33</v>
      </c>
      <c r="P20" s="41">
        <v>45298</v>
      </c>
      <c r="Q20" s="41">
        <v>46394</v>
      </c>
      <c r="R20" s="7" t="s">
        <v>34</v>
      </c>
      <c r="S20" s="8">
        <v>0</v>
      </c>
      <c r="T20" s="9">
        <v>3439000</v>
      </c>
    </row>
    <row r="21" spans="1:20" ht="51.75" customHeight="1">
      <c r="A21" s="10">
        <v>20</v>
      </c>
      <c r="B21" s="11" t="s">
        <v>191</v>
      </c>
      <c r="C21" s="12" t="s">
        <v>54</v>
      </c>
      <c r="D21" s="12" t="s">
        <v>168</v>
      </c>
      <c r="E21" s="11" t="s">
        <v>192</v>
      </c>
      <c r="F21" s="12" t="s">
        <v>193</v>
      </c>
      <c r="G21" s="12" t="s">
        <v>194</v>
      </c>
      <c r="H21" s="11" t="s">
        <v>195</v>
      </c>
      <c r="I21" s="11" t="s">
        <v>196</v>
      </c>
      <c r="J21" s="11" t="s">
        <v>173</v>
      </c>
      <c r="K21" s="11" t="s">
        <v>61</v>
      </c>
      <c r="L21" s="11" t="s">
        <v>197</v>
      </c>
      <c r="M21" s="11" t="s">
        <v>198</v>
      </c>
      <c r="N21" s="14" t="s">
        <v>32</v>
      </c>
      <c r="O21" s="14" t="s">
        <v>33</v>
      </c>
      <c r="P21" s="42" t="s">
        <v>199</v>
      </c>
      <c r="Q21" s="42" t="s">
        <v>200</v>
      </c>
      <c r="R21" s="14" t="s">
        <v>176</v>
      </c>
      <c r="S21" s="17">
        <v>100</v>
      </c>
      <c r="T21" s="16">
        <v>3898500</v>
      </c>
    </row>
    <row r="22" spans="1:20" ht="51.75" customHeight="1">
      <c r="A22" s="4">
        <v>21</v>
      </c>
      <c r="B22" s="5" t="s">
        <v>201</v>
      </c>
      <c r="C22" s="6" t="s">
        <v>202</v>
      </c>
      <c r="D22" s="6" t="s">
        <v>151</v>
      </c>
      <c r="E22" s="5" t="s">
        <v>203</v>
      </c>
      <c r="F22" s="6" t="s">
        <v>204</v>
      </c>
      <c r="G22" s="6" t="s">
        <v>205</v>
      </c>
      <c r="H22" s="5" t="s">
        <v>201</v>
      </c>
      <c r="I22" s="5" t="s">
        <v>206</v>
      </c>
      <c r="J22" s="5" t="s">
        <v>207</v>
      </c>
      <c r="K22" s="5" t="s">
        <v>208</v>
      </c>
      <c r="L22" s="5" t="s">
        <v>209</v>
      </c>
      <c r="M22" s="5" t="s">
        <v>98</v>
      </c>
      <c r="N22" s="7" t="s">
        <v>32</v>
      </c>
      <c r="O22" s="7" t="s">
        <v>33</v>
      </c>
      <c r="P22" s="41">
        <v>45300</v>
      </c>
      <c r="Q22" s="41">
        <v>46396</v>
      </c>
      <c r="R22" s="7" t="s">
        <v>34</v>
      </c>
      <c r="S22" s="8">
        <v>0</v>
      </c>
      <c r="T22" s="9">
        <v>538430</v>
      </c>
    </row>
    <row r="23" spans="1:20" ht="67.5" customHeight="1">
      <c r="A23" s="10">
        <v>22</v>
      </c>
      <c r="B23" s="11" t="s">
        <v>210</v>
      </c>
      <c r="C23" s="12" t="s">
        <v>36</v>
      </c>
      <c r="D23" s="12" t="s">
        <v>211</v>
      </c>
      <c r="E23" s="11" t="s">
        <v>23</v>
      </c>
      <c r="F23" s="12" t="s">
        <v>212</v>
      </c>
      <c r="G23" s="12" t="s">
        <v>124</v>
      </c>
      <c r="H23" s="11" t="s">
        <v>213</v>
      </c>
      <c r="I23" s="11" t="s">
        <v>214</v>
      </c>
      <c r="J23" s="11" t="s">
        <v>189</v>
      </c>
      <c r="K23" s="11" t="s">
        <v>29</v>
      </c>
      <c r="L23" s="12" t="s">
        <v>30</v>
      </c>
      <c r="M23" s="11" t="s">
        <v>31</v>
      </c>
      <c r="N23" s="14" t="s">
        <v>50</v>
      </c>
      <c r="O23" s="14" t="s">
        <v>33</v>
      </c>
      <c r="P23" s="42">
        <v>46478</v>
      </c>
      <c r="Q23" s="42">
        <v>47574</v>
      </c>
      <c r="R23" s="14" t="s">
        <v>44</v>
      </c>
      <c r="S23" s="17">
        <v>0</v>
      </c>
      <c r="T23" s="16">
        <v>50000000</v>
      </c>
    </row>
    <row r="24" spans="1:20" ht="84.75" customHeight="1">
      <c r="A24" s="4">
        <v>23</v>
      </c>
      <c r="B24" s="5" t="s">
        <v>215</v>
      </c>
      <c r="C24" s="6" t="s">
        <v>110</v>
      </c>
      <c r="D24" s="6" t="s">
        <v>22</v>
      </c>
      <c r="E24" s="5" t="s">
        <v>137</v>
      </c>
      <c r="F24" s="6" t="s">
        <v>216</v>
      </c>
      <c r="G24" s="6" t="s">
        <v>217</v>
      </c>
      <c r="H24" s="5" t="s">
        <v>218</v>
      </c>
      <c r="I24" s="5" t="s">
        <v>219</v>
      </c>
      <c r="J24" s="5" t="s">
        <v>220</v>
      </c>
      <c r="K24" s="5" t="s">
        <v>61</v>
      </c>
      <c r="L24" s="5" t="s">
        <v>221</v>
      </c>
      <c r="M24" s="5" t="s">
        <v>98</v>
      </c>
      <c r="N24" s="7" t="s">
        <v>32</v>
      </c>
      <c r="O24" s="7" t="s">
        <v>118</v>
      </c>
      <c r="P24" s="41">
        <v>45720</v>
      </c>
      <c r="Q24" s="41">
        <v>46816</v>
      </c>
      <c r="R24" s="7" t="s">
        <v>34</v>
      </c>
      <c r="S24" s="8">
        <v>20</v>
      </c>
      <c r="T24" s="9">
        <v>40000000</v>
      </c>
    </row>
    <row r="25" spans="1:20" ht="51.75" customHeight="1">
      <c r="A25" s="10">
        <v>24</v>
      </c>
      <c r="B25" s="11" t="s">
        <v>222</v>
      </c>
      <c r="C25" s="12" t="s">
        <v>223</v>
      </c>
      <c r="D25" s="12" t="s">
        <v>151</v>
      </c>
      <c r="E25" s="12" t="s">
        <v>75</v>
      </c>
      <c r="F25" s="12" t="s">
        <v>224</v>
      </c>
      <c r="G25" s="12" t="s">
        <v>152</v>
      </c>
      <c r="H25" s="11" t="s">
        <v>225</v>
      </c>
      <c r="I25" s="13" t="s">
        <v>226</v>
      </c>
      <c r="J25" s="11" t="s">
        <v>227</v>
      </c>
      <c r="K25" s="12" t="s">
        <v>30</v>
      </c>
      <c r="L25" s="12" t="s">
        <v>30</v>
      </c>
      <c r="M25" s="13" t="s">
        <v>154</v>
      </c>
      <c r="N25" s="14" t="s">
        <v>32</v>
      </c>
      <c r="O25" s="14" t="s">
        <v>118</v>
      </c>
      <c r="P25" s="42">
        <v>46388</v>
      </c>
      <c r="Q25" s="42" t="s">
        <v>30</v>
      </c>
      <c r="R25" s="14" t="s">
        <v>228</v>
      </c>
      <c r="S25" s="15"/>
      <c r="T25" s="16">
        <v>20000000</v>
      </c>
    </row>
    <row r="26" spans="1:20" ht="118.5" customHeight="1">
      <c r="A26" s="4">
        <v>25</v>
      </c>
      <c r="B26" s="5" t="s">
        <v>229</v>
      </c>
      <c r="C26" s="6" t="s">
        <v>110</v>
      </c>
      <c r="D26" s="6" t="s">
        <v>122</v>
      </c>
      <c r="E26" s="5" t="s">
        <v>230</v>
      </c>
      <c r="F26" s="6" t="s">
        <v>231</v>
      </c>
      <c r="G26" s="6" t="s">
        <v>232</v>
      </c>
      <c r="H26" s="5" t="s">
        <v>233</v>
      </c>
      <c r="I26" s="5" t="s">
        <v>234</v>
      </c>
      <c r="J26" s="5" t="s">
        <v>235</v>
      </c>
      <c r="K26" s="5" t="s">
        <v>208</v>
      </c>
      <c r="L26" s="6" t="s">
        <v>30</v>
      </c>
      <c r="M26" s="5" t="s">
        <v>98</v>
      </c>
      <c r="N26" s="7" t="s">
        <v>32</v>
      </c>
      <c r="O26" s="7" t="s">
        <v>33</v>
      </c>
      <c r="P26" s="41" t="s">
        <v>236</v>
      </c>
      <c r="Q26" s="41" t="s">
        <v>237</v>
      </c>
      <c r="R26" s="7" t="s">
        <v>34</v>
      </c>
      <c r="S26" s="8">
        <v>0</v>
      </c>
      <c r="T26" s="9">
        <v>19996366.859999999</v>
      </c>
    </row>
    <row r="27" spans="1:20" ht="67.5" customHeight="1">
      <c r="A27" s="10">
        <v>26</v>
      </c>
      <c r="B27" s="11" t="s">
        <v>238</v>
      </c>
      <c r="C27" s="12" t="s">
        <v>110</v>
      </c>
      <c r="D27" s="12" t="s">
        <v>22</v>
      </c>
      <c r="E27" s="12" t="s">
        <v>75</v>
      </c>
      <c r="F27" s="12" t="s">
        <v>239</v>
      </c>
      <c r="G27" s="12" t="s">
        <v>240</v>
      </c>
      <c r="H27" s="11" t="s">
        <v>241</v>
      </c>
      <c r="I27" s="13" t="s">
        <v>242</v>
      </c>
      <c r="J27" s="11" t="s">
        <v>243</v>
      </c>
      <c r="K27" s="12" t="s">
        <v>30</v>
      </c>
      <c r="L27" s="12" t="s">
        <v>30</v>
      </c>
      <c r="M27" s="13" t="s">
        <v>148</v>
      </c>
      <c r="N27" s="14" t="s">
        <v>32</v>
      </c>
      <c r="O27" s="14" t="s">
        <v>33</v>
      </c>
      <c r="P27" s="42" t="s">
        <v>244</v>
      </c>
      <c r="Q27" s="42" t="s">
        <v>245</v>
      </c>
      <c r="R27" s="14" t="s">
        <v>34</v>
      </c>
      <c r="S27" s="15"/>
      <c r="T27" s="16"/>
    </row>
    <row r="28" spans="1:20" ht="51.75" customHeight="1">
      <c r="A28" s="4">
        <v>27</v>
      </c>
      <c r="B28" s="5" t="s">
        <v>246</v>
      </c>
      <c r="C28" s="6" t="s">
        <v>110</v>
      </c>
      <c r="D28" s="6" t="s">
        <v>65</v>
      </c>
      <c r="E28" s="5" t="s">
        <v>247</v>
      </c>
      <c r="F28" s="6" t="s">
        <v>248</v>
      </c>
      <c r="G28" s="6" t="s">
        <v>249</v>
      </c>
      <c r="H28" s="5" t="s">
        <v>250</v>
      </c>
      <c r="I28" s="5" t="s">
        <v>251</v>
      </c>
      <c r="J28" s="5" t="s">
        <v>252</v>
      </c>
      <c r="K28" s="5" t="s">
        <v>253</v>
      </c>
      <c r="L28" s="6" t="s">
        <v>30</v>
      </c>
      <c r="M28" s="5" t="s">
        <v>254</v>
      </c>
      <c r="N28" s="7" t="s">
        <v>32</v>
      </c>
      <c r="O28" s="7" t="s">
        <v>33</v>
      </c>
      <c r="P28" s="41">
        <v>45995</v>
      </c>
      <c r="Q28" s="41">
        <v>46360</v>
      </c>
      <c r="R28" s="7" t="s">
        <v>34</v>
      </c>
      <c r="S28" s="8">
        <v>0</v>
      </c>
      <c r="T28" s="9">
        <v>7912000</v>
      </c>
    </row>
    <row r="29" spans="1:20" ht="118.5" customHeight="1">
      <c r="A29" s="10">
        <v>28</v>
      </c>
      <c r="B29" s="11" t="s">
        <v>255</v>
      </c>
      <c r="C29" s="12" t="s">
        <v>110</v>
      </c>
      <c r="D29" s="12" t="s">
        <v>151</v>
      </c>
      <c r="E29" s="11" t="s">
        <v>203</v>
      </c>
      <c r="F29" s="12" t="s">
        <v>256</v>
      </c>
      <c r="G29" s="12" t="s">
        <v>257</v>
      </c>
      <c r="H29" s="11" t="s">
        <v>258</v>
      </c>
      <c r="I29" s="11" t="s">
        <v>259</v>
      </c>
      <c r="J29" s="11" t="s">
        <v>260</v>
      </c>
      <c r="K29" s="11" t="s">
        <v>261</v>
      </c>
      <c r="L29" s="12" t="s">
        <v>30</v>
      </c>
      <c r="M29" s="11" t="s">
        <v>254</v>
      </c>
      <c r="N29" s="14" t="s">
        <v>32</v>
      </c>
      <c r="O29" s="14" t="s">
        <v>33</v>
      </c>
      <c r="P29" s="42">
        <v>47027</v>
      </c>
      <c r="Q29" s="42">
        <v>47757</v>
      </c>
      <c r="R29" s="14" t="s">
        <v>44</v>
      </c>
      <c r="S29" s="17">
        <v>0</v>
      </c>
      <c r="T29" s="16">
        <v>24000000</v>
      </c>
    </row>
    <row r="30" spans="1:20" ht="67.5" customHeight="1">
      <c r="A30" s="4">
        <v>29</v>
      </c>
      <c r="B30" s="5" t="s">
        <v>262</v>
      </c>
      <c r="C30" s="6" t="s">
        <v>263</v>
      </c>
      <c r="D30" s="6" t="s">
        <v>168</v>
      </c>
      <c r="E30" s="5" t="s">
        <v>137</v>
      </c>
      <c r="F30" s="6" t="s">
        <v>264</v>
      </c>
      <c r="G30" s="6" t="s">
        <v>265</v>
      </c>
      <c r="H30" s="5" t="s">
        <v>266</v>
      </c>
      <c r="I30" s="5" t="s">
        <v>267</v>
      </c>
      <c r="J30" s="6" t="s">
        <v>30</v>
      </c>
      <c r="K30" s="5" t="s">
        <v>253</v>
      </c>
      <c r="L30" s="6" t="s">
        <v>30</v>
      </c>
      <c r="M30" s="5" t="s">
        <v>98</v>
      </c>
      <c r="N30" s="7" t="s">
        <v>32</v>
      </c>
      <c r="O30" s="7" t="s">
        <v>33</v>
      </c>
      <c r="P30" s="41">
        <v>46388</v>
      </c>
      <c r="Q30" s="41" t="s">
        <v>30</v>
      </c>
      <c r="R30" s="7" t="s">
        <v>268</v>
      </c>
      <c r="S30" s="8">
        <v>0</v>
      </c>
      <c r="T30" s="9">
        <v>300000000</v>
      </c>
    </row>
    <row r="31" spans="1:20" ht="67.5" customHeight="1">
      <c r="A31" s="10">
        <v>30</v>
      </c>
      <c r="B31" s="11" t="s">
        <v>269</v>
      </c>
      <c r="C31" s="12" t="s">
        <v>270</v>
      </c>
      <c r="D31" s="12" t="s">
        <v>168</v>
      </c>
      <c r="E31" s="11" t="s">
        <v>158</v>
      </c>
      <c r="F31" s="12" t="s">
        <v>271</v>
      </c>
      <c r="G31" s="12" t="s">
        <v>272</v>
      </c>
      <c r="H31" s="11" t="s">
        <v>273</v>
      </c>
      <c r="I31" s="11" t="s">
        <v>274</v>
      </c>
      <c r="J31" s="11" t="s">
        <v>275</v>
      </c>
      <c r="K31" s="11" t="s">
        <v>253</v>
      </c>
      <c r="L31" s="12" t="s">
        <v>30</v>
      </c>
      <c r="M31" s="11" t="s">
        <v>276</v>
      </c>
      <c r="N31" s="14" t="s">
        <v>32</v>
      </c>
      <c r="O31" s="14" t="s">
        <v>33</v>
      </c>
      <c r="P31" s="42">
        <v>46023</v>
      </c>
      <c r="Q31" s="42">
        <v>46753</v>
      </c>
      <c r="R31" s="14" t="s">
        <v>44</v>
      </c>
      <c r="S31" s="17">
        <v>0</v>
      </c>
      <c r="T31" s="16">
        <v>2300000</v>
      </c>
    </row>
    <row r="32" spans="1:20" ht="51.75" customHeight="1">
      <c r="A32" s="4">
        <v>31</v>
      </c>
      <c r="B32" s="5" t="s">
        <v>277</v>
      </c>
      <c r="C32" s="6" t="s">
        <v>223</v>
      </c>
      <c r="D32" s="6" t="s">
        <v>168</v>
      </c>
      <c r="E32" s="5" t="s">
        <v>278</v>
      </c>
      <c r="F32" s="6" t="s">
        <v>279</v>
      </c>
      <c r="G32" s="6" t="s">
        <v>280</v>
      </c>
      <c r="H32" s="5" t="s">
        <v>281</v>
      </c>
      <c r="I32" s="5" t="s">
        <v>282</v>
      </c>
      <c r="J32" s="6" t="s">
        <v>30</v>
      </c>
      <c r="K32" s="5" t="s">
        <v>253</v>
      </c>
      <c r="L32" s="6" t="s">
        <v>30</v>
      </c>
      <c r="M32" s="5" t="s">
        <v>98</v>
      </c>
      <c r="N32" s="7" t="s">
        <v>32</v>
      </c>
      <c r="O32" s="7" t="s">
        <v>33</v>
      </c>
      <c r="P32" s="41">
        <v>46478</v>
      </c>
      <c r="Q32" s="41">
        <v>47209</v>
      </c>
      <c r="R32" s="7" t="s">
        <v>44</v>
      </c>
      <c r="S32" s="8">
        <v>0</v>
      </c>
      <c r="T32" s="9">
        <v>3000000</v>
      </c>
    </row>
    <row r="33" spans="1:20" ht="51.75" customHeight="1">
      <c r="A33" s="10">
        <v>32</v>
      </c>
      <c r="B33" s="11" t="s">
        <v>283</v>
      </c>
      <c r="C33" s="12" t="s">
        <v>284</v>
      </c>
      <c r="D33" s="12" t="s">
        <v>168</v>
      </c>
      <c r="E33" s="11" t="s">
        <v>285</v>
      </c>
      <c r="F33" s="12" t="s">
        <v>286</v>
      </c>
      <c r="G33" s="12" t="s">
        <v>287</v>
      </c>
      <c r="H33" s="11" t="s">
        <v>288</v>
      </c>
      <c r="I33" s="11" t="s">
        <v>289</v>
      </c>
      <c r="J33" s="12" t="s">
        <v>30</v>
      </c>
      <c r="K33" s="11" t="s">
        <v>290</v>
      </c>
      <c r="L33" s="12" t="s">
        <v>30</v>
      </c>
      <c r="M33" s="11" t="s">
        <v>276</v>
      </c>
      <c r="N33" s="14" t="s">
        <v>32</v>
      </c>
      <c r="O33" s="14" t="s">
        <v>33</v>
      </c>
      <c r="P33" s="42">
        <v>46023</v>
      </c>
      <c r="Q33" s="42">
        <v>46023</v>
      </c>
      <c r="R33" s="14" t="s">
        <v>268</v>
      </c>
      <c r="S33" s="17">
        <v>0</v>
      </c>
      <c r="T33" s="16">
        <v>2000000</v>
      </c>
    </row>
    <row r="34" spans="1:20" ht="102" customHeight="1">
      <c r="A34" s="4">
        <v>33</v>
      </c>
      <c r="B34" s="5" t="s">
        <v>291</v>
      </c>
      <c r="C34" s="6" t="s">
        <v>292</v>
      </c>
      <c r="D34" s="6" t="s">
        <v>183</v>
      </c>
      <c r="E34" s="5" t="s">
        <v>192</v>
      </c>
      <c r="F34" s="6" t="s">
        <v>293</v>
      </c>
      <c r="G34" s="6" t="s">
        <v>294</v>
      </c>
      <c r="H34" s="5" t="s">
        <v>295</v>
      </c>
      <c r="I34" s="5" t="s">
        <v>296</v>
      </c>
      <c r="J34" s="5" t="s">
        <v>297</v>
      </c>
      <c r="K34" s="5" t="s">
        <v>290</v>
      </c>
      <c r="L34" s="6" t="s">
        <v>30</v>
      </c>
      <c r="M34" s="5" t="s">
        <v>198</v>
      </c>
      <c r="N34" s="7" t="s">
        <v>32</v>
      </c>
      <c r="O34" s="7" t="s">
        <v>33</v>
      </c>
      <c r="P34" s="41">
        <v>46023</v>
      </c>
      <c r="Q34" s="41">
        <v>46023</v>
      </c>
      <c r="R34" s="7" t="s">
        <v>268</v>
      </c>
      <c r="S34" s="8">
        <v>0</v>
      </c>
      <c r="T34" s="9">
        <v>5000000</v>
      </c>
    </row>
    <row r="35" spans="1:20" ht="67.5" customHeight="1">
      <c r="A35" s="10">
        <v>34</v>
      </c>
      <c r="B35" s="11" t="s">
        <v>298</v>
      </c>
      <c r="C35" s="12" t="s">
        <v>299</v>
      </c>
      <c r="D35" s="12" t="s">
        <v>300</v>
      </c>
      <c r="E35" s="12" t="s">
        <v>301</v>
      </c>
      <c r="F35" s="12" t="s">
        <v>302</v>
      </c>
      <c r="G35" s="12" t="s">
        <v>303</v>
      </c>
      <c r="H35" s="11" t="s">
        <v>304</v>
      </c>
      <c r="I35" s="13" t="s">
        <v>305</v>
      </c>
      <c r="J35" s="11" t="s">
        <v>306</v>
      </c>
      <c r="K35" s="12" t="s">
        <v>30</v>
      </c>
      <c r="L35" s="12" t="s">
        <v>30</v>
      </c>
      <c r="M35" s="13" t="s">
        <v>175</v>
      </c>
      <c r="N35" s="14" t="s">
        <v>32</v>
      </c>
      <c r="O35" s="14" t="s">
        <v>99</v>
      </c>
      <c r="P35" s="42">
        <v>46023</v>
      </c>
      <c r="Q35" s="42">
        <v>46753</v>
      </c>
      <c r="R35" s="14" t="s">
        <v>268</v>
      </c>
      <c r="S35" s="15"/>
      <c r="T35" s="16">
        <v>2000000</v>
      </c>
    </row>
    <row r="36" spans="1:20" ht="67.5" customHeight="1">
      <c r="A36" s="4">
        <v>35</v>
      </c>
      <c r="B36" s="5" t="s">
        <v>307</v>
      </c>
      <c r="C36" s="6" t="s">
        <v>270</v>
      </c>
      <c r="D36" s="6" t="s">
        <v>308</v>
      </c>
      <c r="E36" s="6" t="s">
        <v>301</v>
      </c>
      <c r="F36" s="6" t="s">
        <v>309</v>
      </c>
      <c r="G36" s="6" t="s">
        <v>310</v>
      </c>
      <c r="H36" s="5" t="s">
        <v>311</v>
      </c>
      <c r="I36" s="13" t="s">
        <v>312</v>
      </c>
      <c r="J36" s="6" t="s">
        <v>30</v>
      </c>
      <c r="K36" s="6" t="s">
        <v>30</v>
      </c>
      <c r="L36" s="6" t="s">
        <v>30</v>
      </c>
      <c r="M36" s="13" t="s">
        <v>154</v>
      </c>
      <c r="N36" s="7" t="s">
        <v>50</v>
      </c>
      <c r="O36" s="7" t="s">
        <v>99</v>
      </c>
      <c r="P36" s="41">
        <v>46478</v>
      </c>
      <c r="Q36" s="41">
        <v>47209</v>
      </c>
      <c r="R36" s="7" t="s">
        <v>44</v>
      </c>
      <c r="S36" s="15">
        <v>0</v>
      </c>
      <c r="T36" s="9">
        <v>2000000</v>
      </c>
    </row>
    <row r="37" spans="1:20" ht="84.75" customHeight="1">
      <c r="A37" s="10">
        <v>36</v>
      </c>
      <c r="B37" s="11" t="s">
        <v>313</v>
      </c>
      <c r="C37" s="12" t="s">
        <v>54</v>
      </c>
      <c r="D37" s="12" t="s">
        <v>314</v>
      </c>
      <c r="E37" s="11" t="s">
        <v>315</v>
      </c>
      <c r="F37" s="12" t="s">
        <v>316</v>
      </c>
      <c r="G37" s="12" t="s">
        <v>317</v>
      </c>
      <c r="H37" s="11" t="s">
        <v>318</v>
      </c>
      <c r="I37" s="11" t="s">
        <v>319</v>
      </c>
      <c r="J37" s="11" t="s">
        <v>320</v>
      </c>
      <c r="K37" s="11" t="s">
        <v>290</v>
      </c>
      <c r="L37" s="11" t="s">
        <v>321</v>
      </c>
      <c r="M37" s="11" t="s">
        <v>322</v>
      </c>
      <c r="N37" s="14" t="s">
        <v>32</v>
      </c>
      <c r="O37" s="14" t="s">
        <v>33</v>
      </c>
      <c r="P37" s="42" t="s">
        <v>323</v>
      </c>
      <c r="Q37" s="42" t="s">
        <v>324</v>
      </c>
      <c r="R37" s="14" t="s">
        <v>34</v>
      </c>
      <c r="S37" s="17">
        <v>0</v>
      </c>
      <c r="T37" s="16">
        <v>16974000</v>
      </c>
    </row>
    <row r="38" spans="1:20" ht="84.75" customHeight="1">
      <c r="A38" s="4">
        <v>37</v>
      </c>
      <c r="B38" s="5" t="s">
        <v>325</v>
      </c>
      <c r="C38" s="6" t="s">
        <v>54</v>
      </c>
      <c r="D38" s="6" t="s">
        <v>326</v>
      </c>
      <c r="E38" s="5" t="s">
        <v>315</v>
      </c>
      <c r="F38" s="6" t="s">
        <v>316</v>
      </c>
      <c r="G38" s="6" t="s">
        <v>317</v>
      </c>
      <c r="H38" s="5" t="s">
        <v>318</v>
      </c>
      <c r="I38" s="5" t="s">
        <v>319</v>
      </c>
      <c r="J38" s="5" t="s">
        <v>327</v>
      </c>
      <c r="K38" s="5" t="s">
        <v>290</v>
      </c>
      <c r="L38" s="5" t="s">
        <v>321</v>
      </c>
      <c r="M38" s="5" t="s">
        <v>322</v>
      </c>
      <c r="N38" s="7" t="s">
        <v>32</v>
      </c>
      <c r="O38" s="7" t="s">
        <v>33</v>
      </c>
      <c r="P38" s="41" t="s">
        <v>328</v>
      </c>
      <c r="Q38" s="41" t="s">
        <v>30</v>
      </c>
      <c r="R38" s="7" t="s">
        <v>268</v>
      </c>
      <c r="S38" s="8">
        <v>0</v>
      </c>
      <c r="T38" s="9">
        <v>16974000</v>
      </c>
    </row>
    <row r="39" spans="1:20" ht="84.75" customHeight="1">
      <c r="A39" s="10">
        <v>38</v>
      </c>
      <c r="B39" s="11" t="s">
        <v>329</v>
      </c>
      <c r="C39" s="12" t="s">
        <v>110</v>
      </c>
      <c r="D39" s="12" t="s">
        <v>65</v>
      </c>
      <c r="E39" s="11" t="s">
        <v>66</v>
      </c>
      <c r="F39" s="12" t="s">
        <v>330</v>
      </c>
      <c r="G39" s="12" t="s">
        <v>331</v>
      </c>
      <c r="H39" s="11" t="s">
        <v>332</v>
      </c>
      <c r="I39" s="11" t="s">
        <v>333</v>
      </c>
      <c r="J39" s="12" t="s">
        <v>30</v>
      </c>
      <c r="K39" s="11" t="s">
        <v>29</v>
      </c>
      <c r="L39" s="12" t="s">
        <v>30</v>
      </c>
      <c r="M39" s="11" t="s">
        <v>31</v>
      </c>
      <c r="N39" s="14" t="s">
        <v>32</v>
      </c>
      <c r="O39" s="14" t="s">
        <v>33</v>
      </c>
      <c r="P39" s="42">
        <v>46023</v>
      </c>
      <c r="Q39" s="42">
        <v>46753</v>
      </c>
      <c r="R39" s="14" t="s">
        <v>44</v>
      </c>
      <c r="S39" s="17">
        <v>0</v>
      </c>
      <c r="T39" s="16">
        <v>5000000</v>
      </c>
    </row>
    <row r="40" spans="1:20" ht="67.5" customHeight="1">
      <c r="A40" s="4">
        <v>39</v>
      </c>
      <c r="B40" s="5" t="s">
        <v>334</v>
      </c>
      <c r="C40" s="6" t="s">
        <v>54</v>
      </c>
      <c r="D40" s="6" t="s">
        <v>136</v>
      </c>
      <c r="E40" s="5" t="s">
        <v>66</v>
      </c>
      <c r="F40" s="6" t="s">
        <v>335</v>
      </c>
      <c r="G40" s="6" t="s">
        <v>336</v>
      </c>
      <c r="H40" s="5" t="s">
        <v>337</v>
      </c>
      <c r="I40" s="5" t="s">
        <v>338</v>
      </c>
      <c r="J40" s="6" t="s">
        <v>30</v>
      </c>
      <c r="K40" s="5" t="s">
        <v>29</v>
      </c>
      <c r="L40" s="6" t="s">
        <v>30</v>
      </c>
      <c r="M40" s="5" t="s">
        <v>31</v>
      </c>
      <c r="N40" s="7" t="s">
        <v>32</v>
      </c>
      <c r="O40" s="7" t="s">
        <v>33</v>
      </c>
      <c r="P40" s="41">
        <v>46569</v>
      </c>
      <c r="Q40" s="41">
        <v>47665</v>
      </c>
      <c r="R40" s="7" t="s">
        <v>44</v>
      </c>
      <c r="S40" s="8">
        <v>0</v>
      </c>
      <c r="T40" s="9">
        <v>5000000</v>
      </c>
    </row>
    <row r="41" spans="1:20" ht="67.5" customHeight="1">
      <c r="A41" s="10">
        <v>40</v>
      </c>
      <c r="B41" s="11" t="s">
        <v>339</v>
      </c>
      <c r="C41" s="12" t="s">
        <v>36</v>
      </c>
      <c r="D41" s="12" t="s">
        <v>340</v>
      </c>
      <c r="E41" s="11" t="s">
        <v>23</v>
      </c>
      <c r="F41" s="12" t="s">
        <v>341</v>
      </c>
      <c r="G41" s="12" t="s">
        <v>40</v>
      </c>
      <c r="H41" s="11" t="s">
        <v>342</v>
      </c>
      <c r="I41" s="11" t="s">
        <v>343</v>
      </c>
      <c r="J41" s="11" t="s">
        <v>344</v>
      </c>
      <c r="K41" s="11" t="s">
        <v>29</v>
      </c>
      <c r="L41" s="12" t="s">
        <v>30</v>
      </c>
      <c r="M41" s="11" t="s">
        <v>31</v>
      </c>
      <c r="N41" s="14" t="s">
        <v>32</v>
      </c>
      <c r="O41" s="14" t="s">
        <v>33</v>
      </c>
      <c r="P41" s="42">
        <v>46661</v>
      </c>
      <c r="Q41" s="42">
        <v>47757</v>
      </c>
      <c r="R41" s="14" t="s">
        <v>44</v>
      </c>
      <c r="S41" s="17">
        <v>0</v>
      </c>
      <c r="T41" s="16">
        <v>4000000</v>
      </c>
    </row>
    <row r="42" spans="1:20" ht="51.75" customHeight="1">
      <c r="A42" s="4">
        <v>41</v>
      </c>
      <c r="B42" s="5" t="s">
        <v>345</v>
      </c>
      <c r="C42" s="6" t="s">
        <v>64</v>
      </c>
      <c r="D42" s="6" t="s">
        <v>65</v>
      </c>
      <c r="E42" s="5" t="s">
        <v>346</v>
      </c>
      <c r="F42" s="6" t="s">
        <v>347</v>
      </c>
      <c r="G42" s="6" t="s">
        <v>348</v>
      </c>
      <c r="H42" s="5" t="s">
        <v>349</v>
      </c>
      <c r="I42" s="5" t="s">
        <v>350</v>
      </c>
      <c r="J42" s="6" t="s">
        <v>30</v>
      </c>
      <c r="K42" s="5" t="s">
        <v>29</v>
      </c>
      <c r="L42" s="6" t="s">
        <v>30</v>
      </c>
      <c r="M42" s="5" t="s">
        <v>31</v>
      </c>
      <c r="N42" s="7" t="s">
        <v>32</v>
      </c>
      <c r="O42" s="7" t="s">
        <v>33</v>
      </c>
      <c r="P42" s="41">
        <v>46204</v>
      </c>
      <c r="Q42" s="41">
        <v>46935</v>
      </c>
      <c r="R42" s="7" t="s">
        <v>44</v>
      </c>
      <c r="S42" s="8">
        <v>0</v>
      </c>
      <c r="T42" s="9">
        <v>2000000</v>
      </c>
    </row>
    <row r="43" spans="1:20" ht="67.5" customHeight="1">
      <c r="A43" s="10">
        <v>42</v>
      </c>
      <c r="B43" s="11" t="s">
        <v>351</v>
      </c>
      <c r="C43" s="12" t="s">
        <v>110</v>
      </c>
      <c r="D43" s="12" t="s">
        <v>151</v>
      </c>
      <c r="E43" s="11" t="s">
        <v>66</v>
      </c>
      <c r="F43" s="12" t="s">
        <v>352</v>
      </c>
      <c r="G43" s="12" t="s">
        <v>353</v>
      </c>
      <c r="H43" s="11" t="s">
        <v>354</v>
      </c>
      <c r="I43" s="11" t="s">
        <v>355</v>
      </c>
      <c r="J43" s="11" t="s">
        <v>356</v>
      </c>
      <c r="K43" s="11" t="s">
        <v>29</v>
      </c>
      <c r="L43" s="12" t="s">
        <v>30</v>
      </c>
      <c r="M43" s="11" t="s">
        <v>98</v>
      </c>
      <c r="N43" s="14" t="s">
        <v>32</v>
      </c>
      <c r="O43" s="14" t="s">
        <v>33</v>
      </c>
      <c r="P43" s="42">
        <v>46023</v>
      </c>
      <c r="Q43" s="42">
        <v>46753</v>
      </c>
      <c r="R43" s="14" t="s">
        <v>268</v>
      </c>
      <c r="S43" s="17">
        <v>0</v>
      </c>
      <c r="T43" s="16">
        <v>24000000</v>
      </c>
    </row>
    <row r="44" spans="1:20" ht="67.5" customHeight="1">
      <c r="A44" s="4">
        <v>43</v>
      </c>
      <c r="B44" s="5" t="s">
        <v>357</v>
      </c>
      <c r="C44" s="6" t="s">
        <v>21</v>
      </c>
      <c r="D44" s="6" t="s">
        <v>92</v>
      </c>
      <c r="E44" s="5" t="s">
        <v>358</v>
      </c>
      <c r="F44" s="6" t="s">
        <v>359</v>
      </c>
      <c r="G44" s="6" t="s">
        <v>360</v>
      </c>
      <c r="H44" s="5" t="s">
        <v>361</v>
      </c>
      <c r="I44" s="5" t="s">
        <v>362</v>
      </c>
      <c r="J44" s="5" t="s">
        <v>363</v>
      </c>
      <c r="K44" s="5" t="s">
        <v>29</v>
      </c>
      <c r="L44" s="5" t="s">
        <v>364</v>
      </c>
      <c r="M44" s="5" t="s">
        <v>31</v>
      </c>
      <c r="N44" s="7" t="s">
        <v>32</v>
      </c>
      <c r="O44" s="7" t="s">
        <v>33</v>
      </c>
      <c r="P44" s="41" t="s">
        <v>365</v>
      </c>
      <c r="Q44" s="41" t="s">
        <v>366</v>
      </c>
      <c r="R44" s="7" t="s">
        <v>176</v>
      </c>
      <c r="S44" s="8">
        <v>0</v>
      </c>
      <c r="T44" s="9">
        <v>89715550.299999997</v>
      </c>
    </row>
    <row r="45" spans="1:20" ht="102" customHeight="1">
      <c r="A45" s="10">
        <v>44</v>
      </c>
      <c r="B45" s="11" t="s">
        <v>367</v>
      </c>
      <c r="C45" s="12" t="s">
        <v>130</v>
      </c>
      <c r="D45" s="12" t="s">
        <v>22</v>
      </c>
      <c r="E45" s="11" t="s">
        <v>56</v>
      </c>
      <c r="F45" s="12" t="s">
        <v>368</v>
      </c>
      <c r="G45" s="12" t="s">
        <v>369</v>
      </c>
      <c r="H45" s="11" t="s">
        <v>370</v>
      </c>
      <c r="I45" s="11" t="s">
        <v>371</v>
      </c>
      <c r="J45" s="12" t="s">
        <v>30</v>
      </c>
      <c r="K45" s="11" t="s">
        <v>29</v>
      </c>
      <c r="L45" s="12" t="s">
        <v>30</v>
      </c>
      <c r="M45" s="11" t="s">
        <v>31</v>
      </c>
      <c r="N45" s="14" t="s">
        <v>32</v>
      </c>
      <c r="O45" s="14" t="s">
        <v>33</v>
      </c>
      <c r="P45" s="42">
        <v>46753</v>
      </c>
      <c r="Q45" s="42">
        <v>47849</v>
      </c>
      <c r="R45" s="14" t="s">
        <v>44</v>
      </c>
      <c r="S45" s="17">
        <v>0</v>
      </c>
      <c r="T45" s="16">
        <v>5000000</v>
      </c>
    </row>
    <row r="46" spans="1:20" ht="51.75" customHeight="1">
      <c r="A46" s="4">
        <v>45</v>
      </c>
      <c r="B46" s="5" t="s">
        <v>372</v>
      </c>
      <c r="C46" s="6" t="s">
        <v>110</v>
      </c>
      <c r="D46" s="6" t="s">
        <v>151</v>
      </c>
      <c r="E46" s="5" t="s">
        <v>373</v>
      </c>
      <c r="F46" s="6" t="s">
        <v>374</v>
      </c>
      <c r="G46" s="6" t="s">
        <v>152</v>
      </c>
      <c r="H46" s="5" t="s">
        <v>372</v>
      </c>
      <c r="I46" s="5" t="s">
        <v>375</v>
      </c>
      <c r="J46" s="6" t="s">
        <v>30</v>
      </c>
      <c r="K46" s="5" t="s">
        <v>208</v>
      </c>
      <c r="L46" s="6" t="s">
        <v>30</v>
      </c>
      <c r="M46" s="5" t="s">
        <v>31</v>
      </c>
      <c r="N46" s="7" t="s">
        <v>32</v>
      </c>
      <c r="O46" s="7" t="s">
        <v>33</v>
      </c>
      <c r="P46" s="41">
        <v>46478</v>
      </c>
      <c r="Q46" s="41">
        <v>47574</v>
      </c>
      <c r="R46" s="7" t="s">
        <v>44</v>
      </c>
      <c r="S46" s="8">
        <v>0</v>
      </c>
      <c r="T46" s="9">
        <v>4000000</v>
      </c>
    </row>
    <row r="47" spans="1:20" ht="51.75" customHeight="1">
      <c r="A47" s="10">
        <v>46</v>
      </c>
      <c r="B47" s="11" t="s">
        <v>376</v>
      </c>
      <c r="C47" s="12" t="s">
        <v>377</v>
      </c>
      <c r="D47" s="12" t="s">
        <v>378</v>
      </c>
      <c r="E47" s="11" t="s">
        <v>379</v>
      </c>
      <c r="F47" s="12" t="s">
        <v>380</v>
      </c>
      <c r="G47" s="12" t="s">
        <v>381</v>
      </c>
      <c r="H47" s="11" t="s">
        <v>382</v>
      </c>
      <c r="I47" s="11" t="s">
        <v>383</v>
      </c>
      <c r="J47" s="12" t="s">
        <v>30</v>
      </c>
      <c r="K47" s="11" t="s">
        <v>208</v>
      </c>
      <c r="L47" s="12" t="s">
        <v>30</v>
      </c>
      <c r="M47" s="11" t="s">
        <v>98</v>
      </c>
      <c r="N47" s="14" t="s">
        <v>32</v>
      </c>
      <c r="O47" s="14" t="s">
        <v>33</v>
      </c>
      <c r="P47" s="42">
        <v>46478</v>
      </c>
      <c r="Q47" s="42">
        <v>47209</v>
      </c>
      <c r="R47" s="14" t="s">
        <v>44</v>
      </c>
      <c r="S47" s="17">
        <v>0</v>
      </c>
      <c r="T47" s="16">
        <v>5000000</v>
      </c>
    </row>
    <row r="48" spans="1:20" ht="67.5" customHeight="1">
      <c r="A48" s="4">
        <v>47</v>
      </c>
      <c r="B48" s="5" t="s">
        <v>384</v>
      </c>
      <c r="C48" s="6" t="s">
        <v>385</v>
      </c>
      <c r="D48" s="6" t="s">
        <v>386</v>
      </c>
      <c r="E48" s="5" t="s">
        <v>66</v>
      </c>
      <c r="F48" s="6" t="s">
        <v>387</v>
      </c>
      <c r="G48" s="6" t="s">
        <v>388</v>
      </c>
      <c r="H48" s="5" t="s">
        <v>389</v>
      </c>
      <c r="I48" s="5" t="s">
        <v>390</v>
      </c>
      <c r="J48" s="6" t="s">
        <v>30</v>
      </c>
      <c r="K48" s="5" t="s">
        <v>29</v>
      </c>
      <c r="L48" s="6" t="s">
        <v>30</v>
      </c>
      <c r="M48" s="5" t="s">
        <v>31</v>
      </c>
      <c r="N48" s="7" t="s">
        <v>32</v>
      </c>
      <c r="O48" s="7" t="s">
        <v>33</v>
      </c>
      <c r="P48" s="41">
        <v>46478</v>
      </c>
      <c r="Q48" s="41">
        <v>47574</v>
      </c>
      <c r="R48" s="7" t="s">
        <v>44</v>
      </c>
      <c r="S48" s="8">
        <v>0</v>
      </c>
      <c r="T48" s="9">
        <v>10000000</v>
      </c>
    </row>
    <row r="49" spans="1:20" ht="51.75" customHeight="1">
      <c r="A49" s="10">
        <v>48</v>
      </c>
      <c r="B49" s="11" t="s">
        <v>391</v>
      </c>
      <c r="C49" s="12" t="s">
        <v>392</v>
      </c>
      <c r="D49" s="12" t="s">
        <v>393</v>
      </c>
      <c r="E49" s="11" t="s">
        <v>66</v>
      </c>
      <c r="F49" s="12" t="s">
        <v>394</v>
      </c>
      <c r="G49" s="12" t="s">
        <v>395</v>
      </c>
      <c r="H49" s="11" t="s">
        <v>396</v>
      </c>
      <c r="I49" s="11" t="s">
        <v>397</v>
      </c>
      <c r="J49" s="12" t="s">
        <v>30</v>
      </c>
      <c r="K49" s="11" t="s">
        <v>29</v>
      </c>
      <c r="L49" s="12" t="s">
        <v>30</v>
      </c>
      <c r="M49" s="11" t="s">
        <v>31</v>
      </c>
      <c r="N49" s="14" t="s">
        <v>32</v>
      </c>
      <c r="O49" s="14" t="s">
        <v>33</v>
      </c>
      <c r="P49" s="42">
        <v>46023</v>
      </c>
      <c r="Q49" s="42">
        <v>46753</v>
      </c>
      <c r="R49" s="14" t="s">
        <v>44</v>
      </c>
      <c r="S49" s="17">
        <v>0</v>
      </c>
      <c r="T49" s="16">
        <v>12000000</v>
      </c>
    </row>
    <row r="50" spans="1:20" ht="84.75" customHeight="1">
      <c r="A50" s="4">
        <v>49</v>
      </c>
      <c r="B50" s="5" t="s">
        <v>398</v>
      </c>
      <c r="C50" s="6" t="s">
        <v>167</v>
      </c>
      <c r="D50" s="6" t="s">
        <v>92</v>
      </c>
      <c r="E50" s="5" t="s">
        <v>203</v>
      </c>
      <c r="F50" s="6" t="s">
        <v>399</v>
      </c>
      <c r="G50" s="6" t="s">
        <v>400</v>
      </c>
      <c r="H50" s="5" t="s">
        <v>401</v>
      </c>
      <c r="I50" s="5" t="s">
        <v>402</v>
      </c>
      <c r="J50" s="5" t="s">
        <v>189</v>
      </c>
      <c r="K50" s="5" t="s">
        <v>61</v>
      </c>
      <c r="L50" s="5" t="s">
        <v>403</v>
      </c>
      <c r="M50" s="5" t="s">
        <v>404</v>
      </c>
      <c r="N50" s="7" t="s">
        <v>32</v>
      </c>
      <c r="O50" s="7" t="s">
        <v>118</v>
      </c>
      <c r="P50" s="41">
        <v>45658</v>
      </c>
      <c r="Q50" s="41" t="s">
        <v>405</v>
      </c>
      <c r="R50" s="7" t="s">
        <v>34</v>
      </c>
      <c r="S50" s="8">
        <v>50</v>
      </c>
      <c r="T50" s="9"/>
    </row>
    <row r="51" spans="1:20" ht="51.75" customHeight="1">
      <c r="A51" s="10">
        <v>50</v>
      </c>
      <c r="B51" s="11" t="s">
        <v>406</v>
      </c>
      <c r="C51" s="12" t="s">
        <v>223</v>
      </c>
      <c r="D51" s="12" t="s">
        <v>151</v>
      </c>
      <c r="E51" s="12" t="s">
        <v>75</v>
      </c>
      <c r="F51" s="12" t="s">
        <v>224</v>
      </c>
      <c r="G51" s="12" t="s">
        <v>152</v>
      </c>
      <c r="H51" s="11" t="s">
        <v>407</v>
      </c>
      <c r="I51" s="13" t="s">
        <v>96</v>
      </c>
      <c r="J51" s="12" t="s">
        <v>30</v>
      </c>
      <c r="K51" s="12" t="s">
        <v>30</v>
      </c>
      <c r="L51" s="12" t="s">
        <v>30</v>
      </c>
      <c r="M51" s="13" t="s">
        <v>154</v>
      </c>
      <c r="N51" s="14" t="s">
        <v>32</v>
      </c>
      <c r="O51" s="14" t="s">
        <v>33</v>
      </c>
      <c r="P51" s="42">
        <v>45666</v>
      </c>
      <c r="Q51" s="42" t="s">
        <v>245</v>
      </c>
      <c r="R51" s="14" t="s">
        <v>34</v>
      </c>
      <c r="S51" s="15"/>
      <c r="T51" s="16"/>
    </row>
    <row r="52" spans="1:20" ht="51.75" customHeight="1">
      <c r="A52" s="4">
        <v>51</v>
      </c>
      <c r="B52" s="5" t="s">
        <v>408</v>
      </c>
      <c r="C52" s="6" t="s">
        <v>64</v>
      </c>
      <c r="D52" s="6" t="s">
        <v>22</v>
      </c>
      <c r="E52" s="5" t="s">
        <v>409</v>
      </c>
      <c r="F52" s="6" t="s">
        <v>410</v>
      </c>
      <c r="G52" s="6" t="s">
        <v>411</v>
      </c>
      <c r="H52" s="5" t="s">
        <v>412</v>
      </c>
      <c r="I52" s="5" t="s">
        <v>413</v>
      </c>
      <c r="J52" s="5" t="s">
        <v>414</v>
      </c>
      <c r="K52" s="5" t="s">
        <v>29</v>
      </c>
      <c r="L52" s="5" t="s">
        <v>415</v>
      </c>
      <c r="M52" s="5" t="s">
        <v>31</v>
      </c>
      <c r="N52" s="7" t="s">
        <v>32</v>
      </c>
      <c r="O52" s="7" t="s">
        <v>33</v>
      </c>
      <c r="P52" s="41">
        <v>45088</v>
      </c>
      <c r="Q52" s="41">
        <v>46184</v>
      </c>
      <c r="R52" s="7" t="s">
        <v>34</v>
      </c>
      <c r="S52" s="8">
        <v>100</v>
      </c>
      <c r="T52" s="9">
        <v>8078417.7000000002</v>
      </c>
    </row>
    <row r="53" spans="1:20" ht="67.5" customHeight="1">
      <c r="A53" s="10">
        <v>52</v>
      </c>
      <c r="B53" s="11" t="s">
        <v>416</v>
      </c>
      <c r="C53" s="12" t="s">
        <v>110</v>
      </c>
      <c r="D53" s="12" t="s">
        <v>65</v>
      </c>
      <c r="E53" s="11" t="s">
        <v>247</v>
      </c>
      <c r="F53" s="12" t="s">
        <v>417</v>
      </c>
      <c r="G53" s="12" t="s">
        <v>418</v>
      </c>
      <c r="H53" s="11" t="s">
        <v>419</v>
      </c>
      <c r="I53" s="11" t="s">
        <v>420</v>
      </c>
      <c r="J53" s="11" t="s">
        <v>421</v>
      </c>
      <c r="K53" s="11" t="s">
        <v>142</v>
      </c>
      <c r="L53" s="11" t="s">
        <v>422</v>
      </c>
      <c r="M53" s="11" t="s">
        <v>31</v>
      </c>
      <c r="N53" s="14" t="s">
        <v>32</v>
      </c>
      <c r="O53" s="14" t="s">
        <v>33</v>
      </c>
      <c r="P53" s="42" t="s">
        <v>423</v>
      </c>
      <c r="Q53" s="42" t="s">
        <v>424</v>
      </c>
      <c r="R53" s="14" t="s">
        <v>34</v>
      </c>
      <c r="S53" s="17">
        <v>96</v>
      </c>
      <c r="T53" s="16">
        <v>4945000</v>
      </c>
    </row>
    <row r="54" spans="1:20" ht="51.75" customHeight="1">
      <c r="A54" s="4">
        <v>53</v>
      </c>
      <c r="B54" s="5" t="s">
        <v>425</v>
      </c>
      <c r="C54" s="6" t="s">
        <v>426</v>
      </c>
      <c r="D54" s="6" t="s">
        <v>151</v>
      </c>
      <c r="E54" s="6" t="s">
        <v>427</v>
      </c>
      <c r="F54" s="6" t="s">
        <v>428</v>
      </c>
      <c r="G54" s="6" t="s">
        <v>152</v>
      </c>
      <c r="H54" s="5" t="s">
        <v>429</v>
      </c>
      <c r="I54" s="13" t="s">
        <v>78</v>
      </c>
      <c r="J54" s="6" t="s">
        <v>30</v>
      </c>
      <c r="K54" s="6" t="s">
        <v>30</v>
      </c>
      <c r="L54" s="6" t="s">
        <v>30</v>
      </c>
      <c r="M54" s="13" t="s">
        <v>154</v>
      </c>
      <c r="N54" s="7" t="s">
        <v>32</v>
      </c>
      <c r="O54" s="7" t="s">
        <v>99</v>
      </c>
      <c r="P54" s="41">
        <v>46023</v>
      </c>
      <c r="Q54" s="41">
        <v>46764</v>
      </c>
      <c r="R54" s="7" t="s">
        <v>34</v>
      </c>
      <c r="S54" s="8">
        <v>0</v>
      </c>
      <c r="T54" s="9">
        <v>300000</v>
      </c>
    </row>
    <row r="55" spans="1:20" ht="51.75" customHeight="1">
      <c r="A55" s="10">
        <v>54</v>
      </c>
      <c r="B55" s="11" t="s">
        <v>430</v>
      </c>
      <c r="C55" s="12" t="s">
        <v>270</v>
      </c>
      <c r="D55" s="12" t="s">
        <v>168</v>
      </c>
      <c r="E55" s="12" t="s">
        <v>427</v>
      </c>
      <c r="F55" s="12" t="s">
        <v>431</v>
      </c>
      <c r="G55" s="12" t="s">
        <v>152</v>
      </c>
      <c r="H55" s="11" t="s">
        <v>432</v>
      </c>
      <c r="I55" s="13" t="s">
        <v>433</v>
      </c>
      <c r="J55" s="12" t="s">
        <v>30</v>
      </c>
      <c r="K55" s="12" t="s">
        <v>30</v>
      </c>
      <c r="L55" s="12" t="s">
        <v>30</v>
      </c>
      <c r="M55" s="13" t="s">
        <v>154</v>
      </c>
      <c r="N55" s="14" t="s">
        <v>50</v>
      </c>
      <c r="O55" s="14" t="s">
        <v>118</v>
      </c>
      <c r="P55" s="42">
        <v>46023</v>
      </c>
      <c r="Q55" s="42" t="s">
        <v>245</v>
      </c>
      <c r="R55" s="14" t="s">
        <v>44</v>
      </c>
      <c r="S55" s="15">
        <v>0</v>
      </c>
      <c r="T55" s="16">
        <v>20000000</v>
      </c>
    </row>
    <row r="56" spans="1:20" ht="67.5" customHeight="1">
      <c r="A56" s="4">
        <v>55</v>
      </c>
      <c r="B56" s="5" t="s">
        <v>434</v>
      </c>
      <c r="C56" s="6" t="s">
        <v>54</v>
      </c>
      <c r="D56" s="6" t="s">
        <v>435</v>
      </c>
      <c r="E56" s="6" t="s">
        <v>46</v>
      </c>
      <c r="F56" s="6" t="s">
        <v>436</v>
      </c>
      <c r="G56" s="6" t="s">
        <v>217</v>
      </c>
      <c r="H56" s="5" t="s">
        <v>437</v>
      </c>
      <c r="I56" s="13" t="s">
        <v>433</v>
      </c>
      <c r="J56" s="5" t="s">
        <v>438</v>
      </c>
      <c r="K56" s="6" t="s">
        <v>30</v>
      </c>
      <c r="L56" s="6" t="s">
        <v>30</v>
      </c>
      <c r="M56" s="13" t="s">
        <v>439</v>
      </c>
      <c r="N56" s="7" t="s">
        <v>32</v>
      </c>
      <c r="O56" s="7" t="s">
        <v>33</v>
      </c>
      <c r="P56" s="41">
        <v>46029</v>
      </c>
      <c r="Q56" s="41">
        <v>47125</v>
      </c>
      <c r="R56" s="7" t="s">
        <v>44</v>
      </c>
      <c r="S56" s="8">
        <v>0</v>
      </c>
      <c r="T56" s="9">
        <v>4979484.4800000004</v>
      </c>
    </row>
    <row r="57" spans="1:20" ht="84.75" customHeight="1">
      <c r="A57" s="10">
        <v>56</v>
      </c>
      <c r="B57" s="11" t="s">
        <v>440</v>
      </c>
      <c r="C57" s="12" t="s">
        <v>385</v>
      </c>
      <c r="D57" s="12" t="s">
        <v>102</v>
      </c>
      <c r="E57" s="11" t="s">
        <v>441</v>
      </c>
      <c r="F57" s="12" t="s">
        <v>442</v>
      </c>
      <c r="G57" s="12" t="s">
        <v>443</v>
      </c>
      <c r="H57" s="11" t="s">
        <v>444</v>
      </c>
      <c r="I57" s="11" t="s">
        <v>445</v>
      </c>
      <c r="J57" s="11" t="s">
        <v>446</v>
      </c>
      <c r="K57" s="11" t="s">
        <v>208</v>
      </c>
      <c r="L57" s="12" t="s">
        <v>30</v>
      </c>
      <c r="M57" s="11" t="s">
        <v>154</v>
      </c>
      <c r="N57" s="14" t="s">
        <v>32</v>
      </c>
      <c r="O57" s="14" t="s">
        <v>33</v>
      </c>
      <c r="P57" s="42">
        <v>46478</v>
      </c>
      <c r="Q57" s="42">
        <v>47209</v>
      </c>
      <c r="R57" s="14" t="s">
        <v>44</v>
      </c>
      <c r="S57" s="17">
        <v>0</v>
      </c>
      <c r="T57" s="16">
        <v>6000000</v>
      </c>
    </row>
    <row r="58" spans="1:20" ht="150" customHeight="1">
      <c r="A58" s="4">
        <v>57</v>
      </c>
      <c r="B58" s="5" t="s">
        <v>447</v>
      </c>
      <c r="C58" s="6" t="s">
        <v>130</v>
      </c>
      <c r="D58" s="6" t="s">
        <v>102</v>
      </c>
      <c r="E58" s="6" t="s">
        <v>427</v>
      </c>
      <c r="F58" s="6" t="s">
        <v>448</v>
      </c>
      <c r="G58" s="6" t="s">
        <v>449</v>
      </c>
      <c r="H58" s="5" t="s">
        <v>450</v>
      </c>
      <c r="I58" s="13" t="s">
        <v>451</v>
      </c>
      <c r="J58" s="5" t="s">
        <v>275</v>
      </c>
      <c r="K58" s="6" t="s">
        <v>30</v>
      </c>
      <c r="L58" s="6" t="s">
        <v>30</v>
      </c>
      <c r="M58" s="13" t="s">
        <v>134</v>
      </c>
      <c r="N58" s="7" t="s">
        <v>32</v>
      </c>
      <c r="O58" s="7" t="s">
        <v>99</v>
      </c>
      <c r="P58" s="41">
        <v>46027</v>
      </c>
      <c r="Q58" s="41">
        <v>46757</v>
      </c>
      <c r="R58" s="7" t="s">
        <v>44</v>
      </c>
      <c r="S58" s="8">
        <v>0</v>
      </c>
      <c r="T58" s="9">
        <v>1799750</v>
      </c>
    </row>
    <row r="59" spans="1:20" ht="67.5" customHeight="1">
      <c r="A59" s="10">
        <v>58</v>
      </c>
      <c r="B59" s="11" t="s">
        <v>452</v>
      </c>
      <c r="C59" s="12" t="s">
        <v>223</v>
      </c>
      <c r="D59" s="12" t="s">
        <v>453</v>
      </c>
      <c r="E59" s="12" t="s">
        <v>75</v>
      </c>
      <c r="F59" s="12" t="s">
        <v>454</v>
      </c>
      <c r="G59" s="12" t="s">
        <v>94</v>
      </c>
      <c r="H59" s="11" t="s">
        <v>455</v>
      </c>
      <c r="I59" s="13" t="s">
        <v>96</v>
      </c>
      <c r="J59" s="12" t="s">
        <v>30</v>
      </c>
      <c r="K59" s="12" t="s">
        <v>30</v>
      </c>
      <c r="L59" s="12" t="s">
        <v>30</v>
      </c>
      <c r="M59" s="13" t="s">
        <v>98</v>
      </c>
      <c r="N59" s="14" t="s">
        <v>32</v>
      </c>
      <c r="O59" s="14" t="s">
        <v>99</v>
      </c>
      <c r="P59" s="42">
        <v>46027</v>
      </c>
      <c r="Q59" s="42" t="s">
        <v>456</v>
      </c>
      <c r="R59" s="14" t="s">
        <v>44</v>
      </c>
      <c r="S59" s="17">
        <v>0</v>
      </c>
      <c r="T59" s="16">
        <v>2000000</v>
      </c>
    </row>
    <row r="60" spans="1:20" ht="84.75" customHeight="1">
      <c r="A60" s="4">
        <v>59</v>
      </c>
      <c r="B60" s="5" t="s">
        <v>457</v>
      </c>
      <c r="C60" s="6" t="s">
        <v>458</v>
      </c>
      <c r="D60" s="6" t="s">
        <v>102</v>
      </c>
      <c r="E60" s="5" t="s">
        <v>203</v>
      </c>
      <c r="F60" s="6" t="s">
        <v>459</v>
      </c>
      <c r="G60" s="6" t="s">
        <v>105</v>
      </c>
      <c r="H60" s="5" t="s">
        <v>460</v>
      </c>
      <c r="I60" s="5" t="s">
        <v>461</v>
      </c>
      <c r="J60" s="6" t="s">
        <v>30</v>
      </c>
      <c r="K60" s="5" t="s">
        <v>208</v>
      </c>
      <c r="L60" s="6" t="s">
        <v>30</v>
      </c>
      <c r="M60" s="5" t="s">
        <v>404</v>
      </c>
      <c r="N60" s="7" t="s">
        <v>32</v>
      </c>
      <c r="O60" s="7" t="s">
        <v>33</v>
      </c>
      <c r="P60" s="41" t="s">
        <v>462</v>
      </c>
      <c r="Q60" s="41" t="s">
        <v>463</v>
      </c>
      <c r="R60" s="7" t="s">
        <v>34</v>
      </c>
      <c r="S60" s="8">
        <v>0</v>
      </c>
      <c r="T60" s="9">
        <v>9139991.1600000001</v>
      </c>
    </row>
    <row r="61" spans="1:20" ht="150" customHeight="1">
      <c r="A61" s="10">
        <v>60</v>
      </c>
      <c r="B61" s="11" t="s">
        <v>464</v>
      </c>
      <c r="C61" s="12" t="s">
        <v>110</v>
      </c>
      <c r="D61" s="12" t="s">
        <v>136</v>
      </c>
      <c r="E61" s="11" t="s">
        <v>66</v>
      </c>
      <c r="F61" s="12" t="s">
        <v>465</v>
      </c>
      <c r="G61" s="12" t="s">
        <v>466</v>
      </c>
      <c r="H61" s="11" t="s">
        <v>467</v>
      </c>
      <c r="I61" s="11" t="s">
        <v>468</v>
      </c>
      <c r="J61" s="11" t="s">
        <v>469</v>
      </c>
      <c r="K61" s="11" t="s">
        <v>29</v>
      </c>
      <c r="L61" s="11" t="s">
        <v>470</v>
      </c>
      <c r="M61" s="11" t="s">
        <v>31</v>
      </c>
      <c r="N61" s="14" t="s">
        <v>32</v>
      </c>
      <c r="O61" s="14" t="s">
        <v>33</v>
      </c>
      <c r="P61" s="42">
        <v>45712</v>
      </c>
      <c r="Q61" s="42">
        <v>46807</v>
      </c>
      <c r="R61" s="14" t="s">
        <v>34</v>
      </c>
      <c r="S61" s="17">
        <v>11</v>
      </c>
      <c r="T61" s="16">
        <v>24000000</v>
      </c>
    </row>
    <row r="62" spans="1:20" ht="67.5" customHeight="1">
      <c r="A62" s="4">
        <v>61</v>
      </c>
      <c r="B62" s="5" t="s">
        <v>471</v>
      </c>
      <c r="C62" s="6" t="s">
        <v>54</v>
      </c>
      <c r="D62" s="6" t="s">
        <v>168</v>
      </c>
      <c r="E62" s="5" t="s">
        <v>472</v>
      </c>
      <c r="F62" s="6" t="s">
        <v>473</v>
      </c>
      <c r="G62" s="6" t="s">
        <v>474</v>
      </c>
      <c r="H62" s="5" t="s">
        <v>475</v>
      </c>
      <c r="I62" s="5" t="s">
        <v>476</v>
      </c>
      <c r="J62" s="6" t="s">
        <v>30</v>
      </c>
      <c r="K62" s="5" t="s">
        <v>290</v>
      </c>
      <c r="L62" s="5" t="s">
        <v>477</v>
      </c>
      <c r="M62" s="5" t="s">
        <v>198</v>
      </c>
      <c r="N62" s="7" t="s">
        <v>32</v>
      </c>
      <c r="O62" s="7" t="s">
        <v>33</v>
      </c>
      <c r="P62" s="41" t="s">
        <v>478</v>
      </c>
      <c r="Q62" s="41">
        <v>45883</v>
      </c>
      <c r="R62" s="7" t="s">
        <v>176</v>
      </c>
      <c r="S62" s="8">
        <v>100</v>
      </c>
      <c r="T62" s="9">
        <v>2414334</v>
      </c>
    </row>
    <row r="63" spans="1:20" ht="51.75" customHeight="1">
      <c r="A63" s="10">
        <v>62</v>
      </c>
      <c r="B63" s="11" t="s">
        <v>479</v>
      </c>
      <c r="C63" s="12" t="s">
        <v>480</v>
      </c>
      <c r="D63" s="12" t="s">
        <v>481</v>
      </c>
      <c r="E63" s="11" t="s">
        <v>482</v>
      </c>
      <c r="F63" s="12" t="s">
        <v>483</v>
      </c>
      <c r="G63" s="12" t="s">
        <v>105</v>
      </c>
      <c r="H63" s="11" t="s">
        <v>484</v>
      </c>
      <c r="I63" s="11" t="s">
        <v>485</v>
      </c>
      <c r="J63" s="11" t="s">
        <v>486</v>
      </c>
      <c r="K63" s="11" t="s">
        <v>61</v>
      </c>
      <c r="L63" s="11" t="s">
        <v>109</v>
      </c>
      <c r="M63" s="11" t="s">
        <v>31</v>
      </c>
      <c r="N63" s="14" t="s">
        <v>32</v>
      </c>
      <c r="O63" s="14" t="s">
        <v>33</v>
      </c>
      <c r="P63" s="42" t="s">
        <v>487</v>
      </c>
      <c r="Q63" s="42" t="s">
        <v>488</v>
      </c>
      <c r="R63" s="14" t="s">
        <v>176</v>
      </c>
      <c r="S63" s="17">
        <v>100</v>
      </c>
      <c r="T63" s="16">
        <v>24840000</v>
      </c>
    </row>
    <row r="64" spans="1:20" ht="67.5" customHeight="1">
      <c r="A64" s="4">
        <v>63</v>
      </c>
      <c r="B64" s="5" t="s">
        <v>489</v>
      </c>
      <c r="C64" s="6" t="s">
        <v>458</v>
      </c>
      <c r="D64" s="6" t="s">
        <v>102</v>
      </c>
      <c r="E64" s="5" t="s">
        <v>441</v>
      </c>
      <c r="F64" s="6" t="s">
        <v>93</v>
      </c>
      <c r="G64" s="6" t="s">
        <v>490</v>
      </c>
      <c r="H64" s="5" t="s">
        <v>491</v>
      </c>
      <c r="I64" s="5" t="s">
        <v>492</v>
      </c>
      <c r="J64" s="5" t="s">
        <v>189</v>
      </c>
      <c r="K64" s="5" t="s">
        <v>208</v>
      </c>
      <c r="L64" s="6" t="s">
        <v>30</v>
      </c>
      <c r="M64" s="5" t="s">
        <v>154</v>
      </c>
      <c r="N64" s="7" t="s">
        <v>32</v>
      </c>
      <c r="O64" s="7" t="s">
        <v>118</v>
      </c>
      <c r="P64" s="41">
        <v>46478</v>
      </c>
      <c r="Q64" s="41">
        <v>47209</v>
      </c>
      <c r="R64" s="7" t="s">
        <v>44</v>
      </c>
      <c r="S64" s="8">
        <v>0</v>
      </c>
      <c r="T64" s="9">
        <v>24840000</v>
      </c>
    </row>
    <row r="65" spans="1:20" ht="51.75" customHeight="1">
      <c r="A65" s="10">
        <v>64</v>
      </c>
      <c r="B65" s="11" t="s">
        <v>493</v>
      </c>
      <c r="C65" s="12" t="s">
        <v>494</v>
      </c>
      <c r="D65" s="12" t="s">
        <v>168</v>
      </c>
      <c r="E65" s="11" t="s">
        <v>203</v>
      </c>
      <c r="F65" s="12" t="s">
        <v>495</v>
      </c>
      <c r="G65" s="12" t="s">
        <v>496</v>
      </c>
      <c r="H65" s="11" t="s">
        <v>497</v>
      </c>
      <c r="I65" s="11" t="s">
        <v>498</v>
      </c>
      <c r="J65" s="12" t="s">
        <v>30</v>
      </c>
      <c r="K65" s="11" t="s">
        <v>499</v>
      </c>
      <c r="L65" s="11" t="s">
        <v>403</v>
      </c>
      <c r="M65" s="11" t="s">
        <v>175</v>
      </c>
      <c r="N65" s="14" t="s">
        <v>32</v>
      </c>
      <c r="O65" s="14" t="s">
        <v>33</v>
      </c>
      <c r="P65" s="42">
        <v>45505</v>
      </c>
      <c r="Q65" s="42" t="s">
        <v>500</v>
      </c>
      <c r="R65" s="14" t="s">
        <v>176</v>
      </c>
      <c r="S65" s="17">
        <v>75</v>
      </c>
      <c r="T65" s="16"/>
    </row>
    <row r="66" spans="1:20" ht="67.5" customHeight="1">
      <c r="A66" s="4">
        <v>65</v>
      </c>
      <c r="B66" s="5" t="s">
        <v>501</v>
      </c>
      <c r="C66" s="6" t="s">
        <v>130</v>
      </c>
      <c r="D66" s="6" t="s">
        <v>502</v>
      </c>
      <c r="E66" s="5" t="s">
        <v>247</v>
      </c>
      <c r="F66" s="6" t="s">
        <v>503</v>
      </c>
      <c r="G66" s="6" t="s">
        <v>504</v>
      </c>
      <c r="H66" s="5" t="s">
        <v>505</v>
      </c>
      <c r="I66" s="5" t="s">
        <v>506</v>
      </c>
      <c r="J66" s="5" t="s">
        <v>507</v>
      </c>
      <c r="K66" s="5" t="s">
        <v>61</v>
      </c>
      <c r="L66" s="5" t="s">
        <v>403</v>
      </c>
      <c r="M66" s="5" t="s">
        <v>404</v>
      </c>
      <c r="N66" s="7" t="s">
        <v>32</v>
      </c>
      <c r="O66" s="7" t="s">
        <v>33</v>
      </c>
      <c r="P66" s="41">
        <v>45302</v>
      </c>
      <c r="Q66" s="41" t="s">
        <v>508</v>
      </c>
      <c r="R66" s="7" t="s">
        <v>176</v>
      </c>
      <c r="S66" s="8">
        <v>85</v>
      </c>
      <c r="T66" s="9">
        <v>2300000</v>
      </c>
    </row>
    <row r="67" spans="1:20" ht="51.75" customHeight="1">
      <c r="A67" s="10">
        <v>66</v>
      </c>
      <c r="B67" s="11" t="s">
        <v>509</v>
      </c>
      <c r="C67" s="12" t="s">
        <v>54</v>
      </c>
      <c r="D67" s="12" t="s">
        <v>168</v>
      </c>
      <c r="E67" s="11" t="s">
        <v>510</v>
      </c>
      <c r="F67" s="12" t="s">
        <v>511</v>
      </c>
      <c r="G67" s="12" t="s">
        <v>152</v>
      </c>
      <c r="H67" s="11" t="s">
        <v>512</v>
      </c>
      <c r="I67" s="11" t="s">
        <v>513</v>
      </c>
      <c r="J67" s="12" t="s">
        <v>30</v>
      </c>
      <c r="K67" s="11" t="s">
        <v>253</v>
      </c>
      <c r="L67" s="11" t="s">
        <v>403</v>
      </c>
      <c r="M67" s="11" t="s">
        <v>514</v>
      </c>
      <c r="N67" s="14" t="s">
        <v>32</v>
      </c>
      <c r="O67" s="14" t="s">
        <v>33</v>
      </c>
      <c r="P67" s="42">
        <v>46661</v>
      </c>
      <c r="Q67" s="42">
        <v>47757</v>
      </c>
      <c r="R67" s="14" t="s">
        <v>44</v>
      </c>
      <c r="S67" s="17">
        <v>0</v>
      </c>
      <c r="T67" s="16">
        <v>3000000</v>
      </c>
    </row>
    <row r="68" spans="1:20" ht="118.5" customHeight="1">
      <c r="A68" s="4">
        <v>67</v>
      </c>
      <c r="B68" s="5" t="s">
        <v>515</v>
      </c>
      <c r="C68" s="6" t="s">
        <v>110</v>
      </c>
      <c r="D68" s="6" t="s">
        <v>122</v>
      </c>
      <c r="E68" s="6" t="s">
        <v>38</v>
      </c>
      <c r="F68" s="6" t="s">
        <v>516</v>
      </c>
      <c r="G68" s="6" t="s">
        <v>124</v>
      </c>
      <c r="H68" s="5" t="s">
        <v>125</v>
      </c>
      <c r="I68" s="13" t="s">
        <v>517</v>
      </c>
      <c r="J68" s="5" t="s">
        <v>252</v>
      </c>
      <c r="K68" s="6" t="s">
        <v>30</v>
      </c>
      <c r="L68" s="6" t="s">
        <v>30</v>
      </c>
      <c r="M68" s="13" t="s">
        <v>117</v>
      </c>
      <c r="N68" s="7" t="s">
        <v>32</v>
      </c>
      <c r="O68" s="7" t="s">
        <v>118</v>
      </c>
      <c r="P68" s="41">
        <v>46117</v>
      </c>
      <c r="Q68" s="41">
        <v>46848</v>
      </c>
      <c r="R68" s="7" t="s">
        <v>44</v>
      </c>
      <c r="S68" s="15">
        <v>0</v>
      </c>
      <c r="T68" s="9">
        <v>85780800</v>
      </c>
    </row>
    <row r="69" spans="1:20" ht="84.75" customHeight="1">
      <c r="A69" s="10">
        <v>68</v>
      </c>
      <c r="B69" s="11" t="s">
        <v>518</v>
      </c>
      <c r="C69" s="12" t="s">
        <v>263</v>
      </c>
      <c r="D69" s="12" t="s">
        <v>519</v>
      </c>
      <c r="E69" s="11" t="s">
        <v>66</v>
      </c>
      <c r="F69" s="12" t="s">
        <v>520</v>
      </c>
      <c r="G69" s="12" t="s">
        <v>124</v>
      </c>
      <c r="H69" s="11" t="s">
        <v>521</v>
      </c>
      <c r="I69" s="11" t="s">
        <v>522</v>
      </c>
      <c r="J69" s="11" t="s">
        <v>523</v>
      </c>
      <c r="K69" s="11" t="s">
        <v>29</v>
      </c>
      <c r="L69" s="12" t="s">
        <v>30</v>
      </c>
      <c r="M69" s="11" t="s">
        <v>31</v>
      </c>
      <c r="N69" s="14" t="s">
        <v>32</v>
      </c>
      <c r="O69" s="14" t="s">
        <v>118</v>
      </c>
      <c r="P69" s="42">
        <v>46113</v>
      </c>
      <c r="Q69" s="42">
        <v>46478</v>
      </c>
      <c r="R69" s="14" t="s">
        <v>44</v>
      </c>
      <c r="S69" s="17">
        <v>0</v>
      </c>
      <c r="T69" s="16">
        <v>5500000</v>
      </c>
    </row>
    <row r="70" spans="1:20" ht="51.75" customHeight="1">
      <c r="A70" s="4">
        <v>69</v>
      </c>
      <c r="B70" s="5" t="s">
        <v>524</v>
      </c>
      <c r="C70" s="6" t="s">
        <v>54</v>
      </c>
      <c r="D70" s="6" t="s">
        <v>435</v>
      </c>
      <c r="E70" s="6" t="s">
        <v>46</v>
      </c>
      <c r="F70" s="6" t="s">
        <v>525</v>
      </c>
      <c r="G70" s="6" t="s">
        <v>411</v>
      </c>
      <c r="H70" s="5" t="s">
        <v>526</v>
      </c>
      <c r="I70" s="13" t="s">
        <v>433</v>
      </c>
      <c r="J70" s="6" t="s">
        <v>30</v>
      </c>
      <c r="K70" s="6" t="s">
        <v>30</v>
      </c>
      <c r="L70" s="6" t="s">
        <v>30</v>
      </c>
      <c r="M70" s="13" t="s">
        <v>439</v>
      </c>
      <c r="N70" s="7" t="s">
        <v>32</v>
      </c>
      <c r="O70" s="7" t="s">
        <v>33</v>
      </c>
      <c r="P70" s="41">
        <v>46113</v>
      </c>
      <c r="Q70" s="41">
        <v>47209</v>
      </c>
      <c r="R70" s="7" t="s">
        <v>44</v>
      </c>
      <c r="S70" s="15">
        <v>0</v>
      </c>
      <c r="T70" s="9">
        <v>5000000</v>
      </c>
    </row>
    <row r="71" spans="1:20" ht="51.75" customHeight="1">
      <c r="A71" s="10">
        <v>70</v>
      </c>
      <c r="B71" s="11" t="s">
        <v>527</v>
      </c>
      <c r="C71" s="12" t="s">
        <v>528</v>
      </c>
      <c r="D71" s="12" t="s">
        <v>519</v>
      </c>
      <c r="E71" s="12" t="s">
        <v>46</v>
      </c>
      <c r="F71" s="12" t="s">
        <v>529</v>
      </c>
      <c r="G71" s="12" t="s">
        <v>411</v>
      </c>
      <c r="H71" s="11" t="s">
        <v>530</v>
      </c>
      <c r="I71" s="13" t="s">
        <v>531</v>
      </c>
      <c r="J71" s="12" t="s">
        <v>30</v>
      </c>
      <c r="K71" s="12" t="s">
        <v>30</v>
      </c>
      <c r="L71" s="12" t="s">
        <v>30</v>
      </c>
      <c r="M71" s="13" t="s">
        <v>532</v>
      </c>
      <c r="N71" s="14" t="s">
        <v>32</v>
      </c>
      <c r="O71" s="14" t="s">
        <v>33</v>
      </c>
      <c r="P71" s="42">
        <v>46032</v>
      </c>
      <c r="Q71" s="42">
        <v>47128</v>
      </c>
      <c r="R71" s="14" t="s">
        <v>44</v>
      </c>
      <c r="S71" s="15">
        <v>0</v>
      </c>
      <c r="T71" s="16">
        <v>10000000</v>
      </c>
    </row>
    <row r="72" spans="1:20" ht="51.75" customHeight="1">
      <c r="A72" s="4">
        <v>71</v>
      </c>
      <c r="B72" s="5" t="s">
        <v>533</v>
      </c>
      <c r="C72" s="6" t="s">
        <v>110</v>
      </c>
      <c r="D72" s="6" t="s">
        <v>22</v>
      </c>
      <c r="E72" s="5" t="s">
        <v>23</v>
      </c>
      <c r="F72" s="6" t="s">
        <v>534</v>
      </c>
      <c r="G72" s="6" t="s">
        <v>535</v>
      </c>
      <c r="H72" s="5" t="s">
        <v>536</v>
      </c>
      <c r="I72" s="5" t="s">
        <v>537</v>
      </c>
      <c r="J72" s="6" t="s">
        <v>30</v>
      </c>
      <c r="K72" s="5" t="s">
        <v>29</v>
      </c>
      <c r="L72" s="6" t="s">
        <v>30</v>
      </c>
      <c r="M72" s="5" t="s">
        <v>31</v>
      </c>
      <c r="N72" s="7" t="s">
        <v>32</v>
      </c>
      <c r="O72" s="7" t="s">
        <v>33</v>
      </c>
      <c r="P72" s="41">
        <v>46661</v>
      </c>
      <c r="Q72" s="41">
        <v>47757</v>
      </c>
      <c r="R72" s="7" t="s">
        <v>44</v>
      </c>
      <c r="S72" s="8">
        <v>0</v>
      </c>
      <c r="T72" s="9">
        <v>3000000</v>
      </c>
    </row>
    <row r="73" spans="1:20" ht="102" customHeight="1">
      <c r="A73" s="10">
        <v>72</v>
      </c>
      <c r="B73" s="11" t="s">
        <v>538</v>
      </c>
      <c r="C73" s="12" t="s">
        <v>130</v>
      </c>
      <c r="D73" s="12" t="s">
        <v>102</v>
      </c>
      <c r="E73" s="11" t="s">
        <v>539</v>
      </c>
      <c r="F73" s="12" t="s">
        <v>540</v>
      </c>
      <c r="G73" s="12" t="s">
        <v>541</v>
      </c>
      <c r="H73" s="11" t="s">
        <v>542</v>
      </c>
      <c r="I73" s="11" t="s">
        <v>543</v>
      </c>
      <c r="J73" s="12" t="s">
        <v>30</v>
      </c>
      <c r="K73" s="11" t="s">
        <v>208</v>
      </c>
      <c r="L73" s="12" t="s">
        <v>30</v>
      </c>
      <c r="M73" s="11" t="s">
        <v>154</v>
      </c>
      <c r="N73" s="14" t="s">
        <v>32</v>
      </c>
      <c r="O73" s="14" t="s">
        <v>33</v>
      </c>
      <c r="P73" s="42">
        <v>46661</v>
      </c>
      <c r="Q73" s="42">
        <v>47027</v>
      </c>
      <c r="R73" s="14" t="s">
        <v>44</v>
      </c>
      <c r="S73" s="17">
        <v>0</v>
      </c>
      <c r="T73" s="16">
        <v>3000000</v>
      </c>
    </row>
    <row r="74" spans="1:20" ht="84.75" customHeight="1">
      <c r="A74" s="4">
        <v>73</v>
      </c>
      <c r="B74" s="5" t="s">
        <v>544</v>
      </c>
      <c r="C74" s="6" t="s">
        <v>299</v>
      </c>
      <c r="D74" s="6" t="s">
        <v>545</v>
      </c>
      <c r="E74" s="5" t="s">
        <v>315</v>
      </c>
      <c r="F74" s="6" t="s">
        <v>546</v>
      </c>
      <c r="G74" s="6" t="s">
        <v>547</v>
      </c>
      <c r="H74" s="5" t="s">
        <v>548</v>
      </c>
      <c r="I74" s="5" t="s">
        <v>549</v>
      </c>
      <c r="J74" s="6" t="s">
        <v>30</v>
      </c>
      <c r="K74" s="5" t="s">
        <v>290</v>
      </c>
      <c r="L74" s="6" t="s">
        <v>30</v>
      </c>
      <c r="M74" s="5" t="s">
        <v>198</v>
      </c>
      <c r="N74" s="7" t="s">
        <v>550</v>
      </c>
      <c r="O74" s="7" t="s">
        <v>99</v>
      </c>
      <c r="P74" s="41">
        <v>46661</v>
      </c>
      <c r="Q74" s="41">
        <v>47392</v>
      </c>
      <c r="R74" s="7" t="s">
        <v>44</v>
      </c>
      <c r="S74" s="8">
        <v>0</v>
      </c>
      <c r="T74" s="9">
        <v>1800000</v>
      </c>
    </row>
    <row r="75" spans="1:20" ht="84.75" customHeight="1">
      <c r="A75" s="10">
        <v>74</v>
      </c>
      <c r="B75" s="11" t="s">
        <v>551</v>
      </c>
      <c r="C75" s="12" t="s">
        <v>130</v>
      </c>
      <c r="D75" s="12" t="s">
        <v>65</v>
      </c>
      <c r="E75" s="11" t="s">
        <v>66</v>
      </c>
      <c r="F75" s="12" t="s">
        <v>552</v>
      </c>
      <c r="G75" s="12" t="s">
        <v>553</v>
      </c>
      <c r="H75" s="11" t="s">
        <v>554</v>
      </c>
      <c r="I75" s="11" t="s">
        <v>555</v>
      </c>
      <c r="J75" s="12" t="s">
        <v>30</v>
      </c>
      <c r="K75" s="11" t="s">
        <v>29</v>
      </c>
      <c r="L75" s="12" t="s">
        <v>30</v>
      </c>
      <c r="M75" s="11" t="s">
        <v>31</v>
      </c>
      <c r="N75" s="14" t="s">
        <v>550</v>
      </c>
      <c r="O75" s="14" t="s">
        <v>33</v>
      </c>
      <c r="P75" s="42" t="s">
        <v>30</v>
      </c>
      <c r="Q75" s="42" t="s">
        <v>30</v>
      </c>
      <c r="R75" s="14" t="s">
        <v>268</v>
      </c>
      <c r="S75" s="17">
        <v>0</v>
      </c>
      <c r="T75" s="16">
        <v>3500000</v>
      </c>
    </row>
    <row r="76" spans="1:20" ht="84.75" customHeight="1">
      <c r="A76" s="4">
        <v>75</v>
      </c>
      <c r="B76" s="5" t="s">
        <v>556</v>
      </c>
      <c r="C76" s="6" t="s">
        <v>54</v>
      </c>
      <c r="D76" s="6" t="s">
        <v>136</v>
      </c>
      <c r="E76" s="5" t="s">
        <v>66</v>
      </c>
      <c r="F76" s="6" t="s">
        <v>557</v>
      </c>
      <c r="G76" s="6" t="s">
        <v>145</v>
      </c>
      <c r="H76" s="5" t="s">
        <v>558</v>
      </c>
      <c r="I76" s="5" t="s">
        <v>559</v>
      </c>
      <c r="J76" s="5" t="s">
        <v>560</v>
      </c>
      <c r="K76" s="5" t="s">
        <v>29</v>
      </c>
      <c r="L76" s="6" t="s">
        <v>30</v>
      </c>
      <c r="M76" s="5" t="s">
        <v>31</v>
      </c>
      <c r="N76" s="7" t="s">
        <v>550</v>
      </c>
      <c r="O76" s="7" t="s">
        <v>33</v>
      </c>
      <c r="P76" s="41" t="s">
        <v>30</v>
      </c>
      <c r="Q76" s="41" t="s">
        <v>30</v>
      </c>
      <c r="R76" s="7" t="s">
        <v>268</v>
      </c>
      <c r="S76" s="8">
        <v>0</v>
      </c>
      <c r="T76" s="9">
        <v>2800000</v>
      </c>
    </row>
    <row r="77" spans="1:20" ht="102" customHeight="1">
      <c r="A77" s="10">
        <v>76</v>
      </c>
      <c r="B77" s="11" t="s">
        <v>561</v>
      </c>
      <c r="C77" s="12" t="s">
        <v>292</v>
      </c>
      <c r="D77" s="12" t="s">
        <v>183</v>
      </c>
      <c r="E77" s="11" t="s">
        <v>562</v>
      </c>
      <c r="F77" s="12" t="s">
        <v>563</v>
      </c>
      <c r="G77" s="12" t="s">
        <v>564</v>
      </c>
      <c r="H77" s="11" t="s">
        <v>565</v>
      </c>
      <c r="I77" s="11" t="s">
        <v>566</v>
      </c>
      <c r="J77" s="12" t="s">
        <v>30</v>
      </c>
      <c r="K77" s="11" t="s">
        <v>290</v>
      </c>
      <c r="L77" s="12" t="s">
        <v>30</v>
      </c>
      <c r="M77" s="11" t="s">
        <v>198</v>
      </c>
      <c r="N77" s="14" t="s">
        <v>550</v>
      </c>
      <c r="O77" s="14" t="s">
        <v>33</v>
      </c>
      <c r="P77" s="42">
        <v>46478</v>
      </c>
      <c r="Q77" s="42">
        <v>46844</v>
      </c>
      <c r="R77" s="14" t="s">
        <v>44</v>
      </c>
      <c r="S77" s="17">
        <v>0</v>
      </c>
      <c r="T77" s="16">
        <v>2000000</v>
      </c>
    </row>
    <row r="78" spans="1:20" ht="118.5" customHeight="1">
      <c r="A78" s="4">
        <v>77</v>
      </c>
      <c r="B78" s="5" t="s">
        <v>567</v>
      </c>
      <c r="C78" s="6" t="s">
        <v>167</v>
      </c>
      <c r="D78" s="6" t="s">
        <v>183</v>
      </c>
      <c r="E78" s="5" t="s">
        <v>568</v>
      </c>
      <c r="F78" s="6" t="s">
        <v>569</v>
      </c>
      <c r="G78" s="6" t="s">
        <v>570</v>
      </c>
      <c r="H78" s="5" t="s">
        <v>571</v>
      </c>
      <c r="I78" s="5" t="s">
        <v>572</v>
      </c>
      <c r="J78" s="5" t="s">
        <v>573</v>
      </c>
      <c r="K78" s="5" t="s">
        <v>290</v>
      </c>
      <c r="L78" s="6" t="s">
        <v>30</v>
      </c>
      <c r="M78" s="5" t="s">
        <v>198</v>
      </c>
      <c r="N78" s="7" t="s">
        <v>32</v>
      </c>
      <c r="O78" s="7" t="s">
        <v>33</v>
      </c>
      <c r="P78" s="41">
        <v>46478</v>
      </c>
      <c r="Q78" s="41">
        <v>46844</v>
      </c>
      <c r="R78" s="7" t="s">
        <v>44</v>
      </c>
      <c r="S78" s="8">
        <v>0</v>
      </c>
      <c r="T78" s="9">
        <v>1200000</v>
      </c>
    </row>
    <row r="79" spans="1:20" ht="118.5" customHeight="1">
      <c r="A79" s="10">
        <v>78</v>
      </c>
      <c r="B79" s="11" t="s">
        <v>574</v>
      </c>
      <c r="C79" s="12" t="s">
        <v>377</v>
      </c>
      <c r="D79" s="12" t="s">
        <v>575</v>
      </c>
      <c r="E79" s="11" t="s">
        <v>66</v>
      </c>
      <c r="F79" s="12" t="s">
        <v>576</v>
      </c>
      <c r="G79" s="12" t="s">
        <v>577</v>
      </c>
      <c r="H79" s="11" t="s">
        <v>578</v>
      </c>
      <c r="I79" s="11" t="s">
        <v>579</v>
      </c>
      <c r="J79" s="12" t="s">
        <v>30</v>
      </c>
      <c r="K79" s="11" t="s">
        <v>29</v>
      </c>
      <c r="L79" s="12" t="s">
        <v>30</v>
      </c>
      <c r="M79" s="11" t="s">
        <v>31</v>
      </c>
      <c r="N79" s="14" t="s">
        <v>32</v>
      </c>
      <c r="O79" s="14" t="s">
        <v>33</v>
      </c>
      <c r="P79" s="42">
        <v>46478</v>
      </c>
      <c r="Q79" s="42">
        <v>47574</v>
      </c>
      <c r="R79" s="14" t="s">
        <v>44</v>
      </c>
      <c r="S79" s="17">
        <v>0</v>
      </c>
      <c r="T79" s="16">
        <v>1000000</v>
      </c>
    </row>
    <row r="80" spans="1:20" ht="102" customHeight="1">
      <c r="A80" s="4">
        <v>79</v>
      </c>
      <c r="B80" s="5" t="s">
        <v>580</v>
      </c>
      <c r="C80" s="6" t="s">
        <v>167</v>
      </c>
      <c r="D80" s="6" t="s">
        <v>183</v>
      </c>
      <c r="E80" s="5" t="s">
        <v>581</v>
      </c>
      <c r="F80" s="6" t="s">
        <v>582</v>
      </c>
      <c r="G80" s="6" t="s">
        <v>583</v>
      </c>
      <c r="H80" s="5" t="s">
        <v>584</v>
      </c>
      <c r="I80" s="5" t="s">
        <v>585</v>
      </c>
      <c r="J80" s="6" t="s">
        <v>30</v>
      </c>
      <c r="K80" s="5" t="s">
        <v>586</v>
      </c>
      <c r="L80" s="6" t="s">
        <v>30</v>
      </c>
      <c r="M80" s="5" t="s">
        <v>31</v>
      </c>
      <c r="N80" s="7" t="s">
        <v>32</v>
      </c>
      <c r="O80" s="7" t="s">
        <v>33</v>
      </c>
      <c r="P80" s="41" t="s">
        <v>30</v>
      </c>
      <c r="Q80" s="41" t="s">
        <v>30</v>
      </c>
      <c r="R80" s="7" t="s">
        <v>268</v>
      </c>
      <c r="S80" s="8">
        <v>0</v>
      </c>
      <c r="T80" s="9">
        <v>3000000</v>
      </c>
    </row>
    <row r="81" spans="1:20" ht="102" customHeight="1">
      <c r="A81" s="10">
        <v>80</v>
      </c>
      <c r="B81" s="11" t="s">
        <v>587</v>
      </c>
      <c r="C81" s="12" t="s">
        <v>130</v>
      </c>
      <c r="D81" s="12" t="s">
        <v>519</v>
      </c>
      <c r="E81" s="11" t="s">
        <v>346</v>
      </c>
      <c r="F81" s="12" t="s">
        <v>588</v>
      </c>
      <c r="G81" s="12" t="s">
        <v>589</v>
      </c>
      <c r="H81" s="11" t="s">
        <v>590</v>
      </c>
      <c r="I81" s="11" t="s">
        <v>591</v>
      </c>
      <c r="J81" s="11" t="s">
        <v>592</v>
      </c>
      <c r="K81" s="11" t="s">
        <v>29</v>
      </c>
      <c r="L81" s="12" t="s">
        <v>30</v>
      </c>
      <c r="M81" s="11" t="s">
        <v>154</v>
      </c>
      <c r="N81" s="14" t="s">
        <v>32</v>
      </c>
      <c r="O81" s="14" t="s">
        <v>33</v>
      </c>
      <c r="P81" s="42" t="s">
        <v>30</v>
      </c>
      <c r="Q81" s="42" t="s">
        <v>30</v>
      </c>
      <c r="R81" s="14" t="s">
        <v>268</v>
      </c>
      <c r="S81" s="17">
        <v>0</v>
      </c>
      <c r="T81" s="16">
        <v>2000000</v>
      </c>
    </row>
    <row r="82" spans="1:20" ht="135.75" customHeight="1">
      <c r="A82" s="4">
        <v>81</v>
      </c>
      <c r="B82" s="5" t="s">
        <v>593</v>
      </c>
      <c r="C82" s="6" t="s">
        <v>167</v>
      </c>
      <c r="D82" s="6" t="s">
        <v>300</v>
      </c>
      <c r="E82" s="5" t="s">
        <v>285</v>
      </c>
      <c r="F82" s="6" t="s">
        <v>594</v>
      </c>
      <c r="G82" s="6" t="s">
        <v>595</v>
      </c>
      <c r="H82" s="5" t="s">
        <v>596</v>
      </c>
      <c r="I82" s="5" t="s">
        <v>597</v>
      </c>
      <c r="J82" s="6" t="s">
        <v>30</v>
      </c>
      <c r="K82" s="5" t="s">
        <v>290</v>
      </c>
      <c r="L82" s="6" t="s">
        <v>30</v>
      </c>
      <c r="M82" s="5" t="s">
        <v>198</v>
      </c>
      <c r="N82" s="7" t="s">
        <v>32</v>
      </c>
      <c r="O82" s="7" t="s">
        <v>33</v>
      </c>
      <c r="P82" s="41">
        <v>46478</v>
      </c>
      <c r="Q82" s="41">
        <v>46844</v>
      </c>
      <c r="R82" s="7" t="s">
        <v>44</v>
      </c>
      <c r="S82" s="8">
        <v>0</v>
      </c>
      <c r="T82" s="9">
        <v>3000000</v>
      </c>
    </row>
    <row r="83" spans="1:20" ht="135.75" customHeight="1">
      <c r="A83" s="10">
        <v>82</v>
      </c>
      <c r="B83" s="11" t="s">
        <v>598</v>
      </c>
      <c r="C83" s="12" t="s">
        <v>182</v>
      </c>
      <c r="D83" s="12" t="s">
        <v>55</v>
      </c>
      <c r="E83" s="11" t="s">
        <v>599</v>
      </c>
      <c r="F83" s="12" t="s">
        <v>600</v>
      </c>
      <c r="G83" s="12" t="s">
        <v>601</v>
      </c>
      <c r="H83" s="11" t="s">
        <v>602</v>
      </c>
      <c r="I83" s="11" t="s">
        <v>603</v>
      </c>
      <c r="J83" s="11" t="s">
        <v>604</v>
      </c>
      <c r="K83" s="11" t="s">
        <v>61</v>
      </c>
      <c r="L83" s="12" t="s">
        <v>30</v>
      </c>
      <c r="M83" s="11" t="s">
        <v>62</v>
      </c>
      <c r="N83" s="14" t="s">
        <v>32</v>
      </c>
      <c r="O83" s="14" t="s">
        <v>33</v>
      </c>
      <c r="P83" s="42">
        <v>46844</v>
      </c>
      <c r="Q83" s="42">
        <v>47574</v>
      </c>
      <c r="R83" s="14" t="s">
        <v>44</v>
      </c>
      <c r="S83" s="17">
        <v>0</v>
      </c>
      <c r="T83" s="16">
        <v>4000000</v>
      </c>
    </row>
    <row r="84" spans="1:20" ht="84.75" customHeight="1">
      <c r="A84" s="4">
        <v>83</v>
      </c>
      <c r="B84" s="5" t="s">
        <v>605</v>
      </c>
      <c r="C84" s="6" t="s">
        <v>385</v>
      </c>
      <c r="D84" s="6" t="s">
        <v>606</v>
      </c>
      <c r="E84" s="5" t="s">
        <v>599</v>
      </c>
      <c r="F84" s="6" t="s">
        <v>607</v>
      </c>
      <c r="G84" s="6" t="s">
        <v>608</v>
      </c>
      <c r="H84" s="5" t="s">
        <v>609</v>
      </c>
      <c r="I84" s="5" t="s">
        <v>610</v>
      </c>
      <c r="J84" s="5" t="s">
        <v>611</v>
      </c>
      <c r="K84" s="5" t="s">
        <v>612</v>
      </c>
      <c r="L84" s="6" t="s">
        <v>30</v>
      </c>
      <c r="M84" s="5" t="s">
        <v>62</v>
      </c>
      <c r="N84" s="7" t="s">
        <v>550</v>
      </c>
      <c r="O84" s="7" t="s">
        <v>33</v>
      </c>
      <c r="P84" s="41" t="s">
        <v>30</v>
      </c>
      <c r="Q84" s="41" t="s">
        <v>30</v>
      </c>
      <c r="R84" s="7" t="s">
        <v>268</v>
      </c>
      <c r="S84" s="8">
        <v>0</v>
      </c>
      <c r="T84" s="9">
        <v>2000000</v>
      </c>
    </row>
    <row r="85" spans="1:20" ht="84.75" customHeight="1">
      <c r="A85" s="10">
        <v>84</v>
      </c>
      <c r="B85" s="11" t="s">
        <v>613</v>
      </c>
      <c r="C85" s="12" t="s">
        <v>263</v>
      </c>
      <c r="D85" s="12" t="s">
        <v>519</v>
      </c>
      <c r="E85" s="11" t="s">
        <v>66</v>
      </c>
      <c r="F85" s="12" t="s">
        <v>520</v>
      </c>
      <c r="G85" s="12" t="s">
        <v>124</v>
      </c>
      <c r="H85" s="11" t="s">
        <v>521</v>
      </c>
      <c r="I85" s="11" t="s">
        <v>522</v>
      </c>
      <c r="J85" s="11" t="s">
        <v>614</v>
      </c>
      <c r="K85" s="11" t="s">
        <v>29</v>
      </c>
      <c r="L85" s="11" t="s">
        <v>615</v>
      </c>
      <c r="M85" s="11" t="s">
        <v>31</v>
      </c>
      <c r="N85" s="14" t="s">
        <v>32</v>
      </c>
      <c r="O85" s="14" t="s">
        <v>118</v>
      </c>
      <c r="P85" s="42">
        <v>45769</v>
      </c>
      <c r="Q85" s="42">
        <v>46134</v>
      </c>
      <c r="R85" s="14" t="s">
        <v>34</v>
      </c>
      <c r="S85" s="17">
        <v>33</v>
      </c>
      <c r="T85" s="16">
        <v>10878080</v>
      </c>
    </row>
    <row r="86" spans="1:20" ht="51.75" customHeight="1">
      <c r="A86" s="4">
        <v>85</v>
      </c>
      <c r="B86" s="5" t="s">
        <v>616</v>
      </c>
      <c r="C86" s="6" t="s">
        <v>426</v>
      </c>
      <c r="D86" s="6" t="s">
        <v>151</v>
      </c>
      <c r="E86" s="6" t="s">
        <v>46</v>
      </c>
      <c r="F86" s="6" t="s">
        <v>617</v>
      </c>
      <c r="G86" s="6" t="s">
        <v>152</v>
      </c>
      <c r="H86" s="13" t="s">
        <v>618</v>
      </c>
      <c r="I86" s="13" t="s">
        <v>78</v>
      </c>
      <c r="J86" s="6" t="s">
        <v>30</v>
      </c>
      <c r="K86" s="6" t="s">
        <v>30</v>
      </c>
      <c r="L86" s="6" t="s">
        <v>30</v>
      </c>
      <c r="M86" s="13" t="s">
        <v>31</v>
      </c>
      <c r="N86" s="7" t="s">
        <v>32</v>
      </c>
      <c r="O86" s="7" t="s">
        <v>33</v>
      </c>
      <c r="P86" s="41" t="s">
        <v>30</v>
      </c>
      <c r="Q86" s="41" t="s">
        <v>30</v>
      </c>
      <c r="R86" s="7" t="s">
        <v>268</v>
      </c>
      <c r="S86" s="8">
        <v>0</v>
      </c>
      <c r="T86" s="9"/>
    </row>
    <row r="87" spans="1:20" ht="102" customHeight="1">
      <c r="A87" s="10">
        <v>86</v>
      </c>
      <c r="B87" s="11" t="s">
        <v>619</v>
      </c>
      <c r="C87" s="12" t="s">
        <v>528</v>
      </c>
      <c r="D87" s="12" t="s">
        <v>519</v>
      </c>
      <c r="E87" s="11" t="s">
        <v>620</v>
      </c>
      <c r="F87" s="12" t="s">
        <v>621</v>
      </c>
      <c r="G87" s="12" t="s">
        <v>622</v>
      </c>
      <c r="H87" s="11" t="s">
        <v>623</v>
      </c>
      <c r="I87" s="11" t="s">
        <v>624</v>
      </c>
      <c r="J87" s="11" t="s">
        <v>625</v>
      </c>
      <c r="K87" s="11" t="s">
        <v>29</v>
      </c>
      <c r="L87" s="12" t="s">
        <v>30</v>
      </c>
      <c r="M87" s="11" t="s">
        <v>31</v>
      </c>
      <c r="N87" s="14" t="s">
        <v>32</v>
      </c>
      <c r="O87" s="14" t="s">
        <v>118</v>
      </c>
      <c r="P87" s="42">
        <v>46028</v>
      </c>
      <c r="Q87" s="42">
        <v>47124</v>
      </c>
      <c r="R87" s="14" t="s">
        <v>626</v>
      </c>
      <c r="S87" s="17">
        <v>0</v>
      </c>
      <c r="T87" s="16">
        <v>5700090</v>
      </c>
    </row>
    <row r="88" spans="1:20" ht="135.75" customHeight="1">
      <c r="A88" s="4">
        <v>87</v>
      </c>
      <c r="B88" s="5" t="s">
        <v>627</v>
      </c>
      <c r="C88" s="6" t="s">
        <v>54</v>
      </c>
      <c r="D88" s="6" t="s">
        <v>519</v>
      </c>
      <c r="E88" s="5" t="s">
        <v>66</v>
      </c>
      <c r="F88" s="6" t="s">
        <v>628</v>
      </c>
      <c r="G88" s="6" t="s">
        <v>629</v>
      </c>
      <c r="H88" s="5" t="s">
        <v>630</v>
      </c>
      <c r="I88" s="5" t="s">
        <v>631</v>
      </c>
      <c r="J88" s="5" t="s">
        <v>632</v>
      </c>
      <c r="K88" s="5" t="s">
        <v>261</v>
      </c>
      <c r="L88" s="6" t="s">
        <v>30</v>
      </c>
      <c r="M88" s="5" t="s">
        <v>31</v>
      </c>
      <c r="N88" s="7" t="s">
        <v>32</v>
      </c>
      <c r="O88" s="7" t="s">
        <v>33</v>
      </c>
      <c r="P88" s="41">
        <v>46935</v>
      </c>
      <c r="Q88" s="41">
        <v>48030</v>
      </c>
      <c r="R88" s="7" t="s">
        <v>44</v>
      </c>
      <c r="S88" s="8">
        <v>0</v>
      </c>
      <c r="T88" s="9">
        <v>6500000</v>
      </c>
    </row>
    <row r="89" spans="1:20" ht="67.5" customHeight="1">
      <c r="A89" s="10">
        <v>88</v>
      </c>
      <c r="B89" s="11" t="s">
        <v>633</v>
      </c>
      <c r="C89" s="12" t="s">
        <v>392</v>
      </c>
      <c r="D89" s="12" t="s">
        <v>314</v>
      </c>
      <c r="E89" s="11" t="s">
        <v>285</v>
      </c>
      <c r="F89" s="12" t="s">
        <v>634</v>
      </c>
      <c r="G89" s="12" t="s">
        <v>635</v>
      </c>
      <c r="H89" s="11" t="s">
        <v>636</v>
      </c>
      <c r="I89" s="11" t="s">
        <v>637</v>
      </c>
      <c r="J89" s="11" t="s">
        <v>638</v>
      </c>
      <c r="K89" s="11" t="s">
        <v>290</v>
      </c>
      <c r="L89" s="11" t="s">
        <v>639</v>
      </c>
      <c r="M89" s="11" t="s">
        <v>198</v>
      </c>
      <c r="N89" s="14" t="s">
        <v>32</v>
      </c>
      <c r="O89" s="14" t="s">
        <v>33</v>
      </c>
      <c r="P89" s="42">
        <v>45722</v>
      </c>
      <c r="Q89" s="42">
        <v>46907</v>
      </c>
      <c r="R89" s="14" t="s">
        <v>34</v>
      </c>
      <c r="S89" s="17">
        <v>11</v>
      </c>
      <c r="T89" s="16">
        <v>4049455</v>
      </c>
    </row>
    <row r="90" spans="1:20" ht="51.75" customHeight="1">
      <c r="A90" s="4">
        <v>89</v>
      </c>
      <c r="B90" s="5" t="s">
        <v>640</v>
      </c>
      <c r="C90" s="6" t="s">
        <v>36</v>
      </c>
      <c r="D90" s="6" t="s">
        <v>37</v>
      </c>
      <c r="E90" s="6" t="s">
        <v>38</v>
      </c>
      <c r="F90" s="6" t="s">
        <v>39</v>
      </c>
      <c r="G90" s="6" t="s">
        <v>411</v>
      </c>
      <c r="H90" s="5" t="s">
        <v>412</v>
      </c>
      <c r="I90" s="13" t="s">
        <v>42</v>
      </c>
      <c r="J90" s="5" t="s">
        <v>641</v>
      </c>
      <c r="K90" s="6" t="s">
        <v>30</v>
      </c>
      <c r="L90" s="6" t="s">
        <v>30</v>
      </c>
      <c r="M90" s="13" t="s">
        <v>31</v>
      </c>
      <c r="N90" s="7" t="s">
        <v>32</v>
      </c>
      <c r="O90" s="7" t="s">
        <v>33</v>
      </c>
      <c r="P90" s="41">
        <v>46333</v>
      </c>
      <c r="Q90" s="41">
        <v>47429</v>
      </c>
      <c r="R90" s="7" t="s">
        <v>44</v>
      </c>
      <c r="S90" s="15">
        <v>0</v>
      </c>
      <c r="T90" s="9">
        <v>5000000</v>
      </c>
    </row>
    <row r="91" spans="1:20" ht="67.5" customHeight="1">
      <c r="A91" s="10">
        <v>90</v>
      </c>
      <c r="B91" s="11" t="s">
        <v>642</v>
      </c>
      <c r="C91" s="12" t="s">
        <v>643</v>
      </c>
      <c r="D91" s="12" t="s">
        <v>37</v>
      </c>
      <c r="E91" s="11" t="s">
        <v>409</v>
      </c>
      <c r="F91" s="12" t="s">
        <v>24</v>
      </c>
      <c r="G91" s="12" t="s">
        <v>25</v>
      </c>
      <c r="H91" s="11" t="s">
        <v>41</v>
      </c>
      <c r="I91" s="11" t="s">
        <v>644</v>
      </c>
      <c r="J91" s="11" t="s">
        <v>645</v>
      </c>
      <c r="K91" s="11" t="s">
        <v>29</v>
      </c>
      <c r="L91" s="11" t="s">
        <v>646</v>
      </c>
      <c r="M91" s="11" t="s">
        <v>31</v>
      </c>
      <c r="N91" s="14" t="s">
        <v>32</v>
      </c>
      <c r="O91" s="14" t="s">
        <v>33</v>
      </c>
      <c r="P91" s="42">
        <v>45056</v>
      </c>
      <c r="Q91" s="42">
        <v>46152</v>
      </c>
      <c r="R91" s="14" t="s">
        <v>34</v>
      </c>
      <c r="S91" s="17">
        <v>0</v>
      </c>
      <c r="T91" s="16">
        <v>5000000</v>
      </c>
    </row>
    <row r="92" spans="1:20" ht="51.75" customHeight="1">
      <c r="A92" s="4">
        <v>91</v>
      </c>
      <c r="B92" s="5" t="s">
        <v>647</v>
      </c>
      <c r="C92" s="6" t="s">
        <v>54</v>
      </c>
      <c r="D92" s="6" t="s">
        <v>435</v>
      </c>
      <c r="E92" s="5" t="s">
        <v>66</v>
      </c>
      <c r="F92" s="6" t="s">
        <v>648</v>
      </c>
      <c r="G92" s="6" t="s">
        <v>649</v>
      </c>
      <c r="H92" s="5" t="s">
        <v>650</v>
      </c>
      <c r="I92" s="5" t="s">
        <v>651</v>
      </c>
      <c r="J92" s="6" t="s">
        <v>30</v>
      </c>
      <c r="K92" s="5" t="s">
        <v>29</v>
      </c>
      <c r="L92" s="6" t="s">
        <v>30</v>
      </c>
      <c r="M92" s="5" t="s">
        <v>31</v>
      </c>
      <c r="N92" s="7" t="s">
        <v>32</v>
      </c>
      <c r="O92" s="7" t="s">
        <v>33</v>
      </c>
      <c r="P92" s="41">
        <v>46756</v>
      </c>
      <c r="Q92" s="41">
        <v>47852</v>
      </c>
      <c r="R92" s="7" t="s">
        <v>44</v>
      </c>
      <c r="S92" s="8">
        <v>0</v>
      </c>
      <c r="T92" s="9">
        <v>5000000</v>
      </c>
    </row>
    <row r="93" spans="1:20" ht="51.75" customHeight="1">
      <c r="A93" s="10">
        <v>92</v>
      </c>
      <c r="B93" s="11" t="s">
        <v>652</v>
      </c>
      <c r="C93" s="12" t="s">
        <v>528</v>
      </c>
      <c r="D93" s="12" t="s">
        <v>519</v>
      </c>
      <c r="E93" s="11" t="s">
        <v>230</v>
      </c>
      <c r="F93" s="12" t="s">
        <v>653</v>
      </c>
      <c r="G93" s="12" t="s">
        <v>265</v>
      </c>
      <c r="H93" s="11" t="s">
        <v>654</v>
      </c>
      <c r="I93" s="11" t="s">
        <v>655</v>
      </c>
      <c r="J93" s="12" t="s">
        <v>30</v>
      </c>
      <c r="K93" s="11" t="s">
        <v>29</v>
      </c>
      <c r="L93" s="12" t="s">
        <v>30</v>
      </c>
      <c r="M93" s="11" t="s">
        <v>31</v>
      </c>
      <c r="N93" s="14" t="s">
        <v>32</v>
      </c>
      <c r="O93" s="14" t="s">
        <v>33</v>
      </c>
      <c r="P93" s="42">
        <v>46756</v>
      </c>
      <c r="Q93" s="42">
        <v>47852</v>
      </c>
      <c r="R93" s="14" t="s">
        <v>44</v>
      </c>
      <c r="S93" s="17">
        <v>0</v>
      </c>
      <c r="T93" s="16">
        <v>3000000</v>
      </c>
    </row>
    <row r="94" spans="1:20" ht="102" customHeight="1">
      <c r="A94" s="4">
        <v>93</v>
      </c>
      <c r="B94" s="5" t="s">
        <v>656</v>
      </c>
      <c r="C94" s="6" t="s">
        <v>54</v>
      </c>
      <c r="D94" s="6" t="s">
        <v>300</v>
      </c>
      <c r="E94" s="5" t="s">
        <v>23</v>
      </c>
      <c r="F94" s="6" t="s">
        <v>657</v>
      </c>
      <c r="G94" s="6" t="s">
        <v>658</v>
      </c>
      <c r="H94" s="5" t="s">
        <v>659</v>
      </c>
      <c r="I94" s="5" t="s">
        <v>660</v>
      </c>
      <c r="J94" s="6" t="s">
        <v>30</v>
      </c>
      <c r="K94" s="5" t="s">
        <v>208</v>
      </c>
      <c r="L94" s="6" t="s">
        <v>30</v>
      </c>
      <c r="M94" s="5" t="s">
        <v>31</v>
      </c>
      <c r="N94" s="7" t="s">
        <v>32</v>
      </c>
      <c r="O94" s="7" t="s">
        <v>33</v>
      </c>
      <c r="P94" s="41">
        <v>47122</v>
      </c>
      <c r="Q94" s="41">
        <v>48217</v>
      </c>
      <c r="R94" s="7" t="s">
        <v>44</v>
      </c>
      <c r="S94" s="8">
        <v>0</v>
      </c>
      <c r="T94" s="9">
        <v>3000000</v>
      </c>
    </row>
    <row r="95" spans="1:20" ht="118.5" customHeight="1">
      <c r="A95" s="10">
        <v>94</v>
      </c>
      <c r="B95" s="11" t="s">
        <v>661</v>
      </c>
      <c r="C95" s="12" t="s">
        <v>662</v>
      </c>
      <c r="D95" s="12" t="s">
        <v>102</v>
      </c>
      <c r="E95" s="11" t="s">
        <v>137</v>
      </c>
      <c r="F95" s="12" t="s">
        <v>663</v>
      </c>
      <c r="G95" s="12" t="s">
        <v>664</v>
      </c>
      <c r="H95" s="11" t="s">
        <v>665</v>
      </c>
      <c r="I95" s="11" t="s">
        <v>666</v>
      </c>
      <c r="J95" s="12" t="s">
        <v>30</v>
      </c>
      <c r="K95" s="11" t="s">
        <v>586</v>
      </c>
      <c r="L95" s="12" t="s">
        <v>30</v>
      </c>
      <c r="M95" s="11" t="s">
        <v>98</v>
      </c>
      <c r="N95" s="14" t="s">
        <v>32</v>
      </c>
      <c r="O95" s="14" t="s">
        <v>33</v>
      </c>
      <c r="P95" s="42" t="s">
        <v>30</v>
      </c>
      <c r="Q95" s="42" t="s">
        <v>30</v>
      </c>
      <c r="R95" s="14" t="s">
        <v>268</v>
      </c>
      <c r="S95" s="17">
        <v>0</v>
      </c>
      <c r="T95" s="16">
        <v>3000000</v>
      </c>
    </row>
    <row r="96" spans="1:20" ht="67.5" customHeight="1">
      <c r="A96" s="4">
        <v>95</v>
      </c>
      <c r="B96" s="5" t="s">
        <v>667</v>
      </c>
      <c r="C96" s="6" t="s">
        <v>21</v>
      </c>
      <c r="D96" s="6" t="s">
        <v>22</v>
      </c>
      <c r="E96" s="5" t="s">
        <v>23</v>
      </c>
      <c r="F96" s="6" t="s">
        <v>24</v>
      </c>
      <c r="G96" s="6" t="s">
        <v>25</v>
      </c>
      <c r="H96" s="5" t="s">
        <v>668</v>
      </c>
      <c r="I96" s="5" t="s">
        <v>27</v>
      </c>
      <c r="J96" s="5" t="s">
        <v>669</v>
      </c>
      <c r="K96" s="5" t="s">
        <v>29</v>
      </c>
      <c r="L96" s="6" t="s">
        <v>30</v>
      </c>
      <c r="M96" s="5" t="s">
        <v>31</v>
      </c>
      <c r="N96" s="7" t="s">
        <v>32</v>
      </c>
      <c r="O96" s="7" t="s">
        <v>33</v>
      </c>
      <c r="P96" s="41">
        <v>46756</v>
      </c>
      <c r="Q96" s="41">
        <v>47852</v>
      </c>
      <c r="R96" s="7" t="s">
        <v>44</v>
      </c>
      <c r="S96" s="8">
        <v>0</v>
      </c>
      <c r="T96" s="9">
        <v>5000000</v>
      </c>
    </row>
    <row r="97" spans="1:20" ht="67.5" customHeight="1">
      <c r="A97" s="10">
        <v>96</v>
      </c>
      <c r="B97" s="11" t="s">
        <v>670</v>
      </c>
      <c r="C97" s="12" t="s">
        <v>458</v>
      </c>
      <c r="D97" s="12" t="s">
        <v>92</v>
      </c>
      <c r="E97" s="11" t="s">
        <v>441</v>
      </c>
      <c r="F97" s="12" t="s">
        <v>671</v>
      </c>
      <c r="G97" s="12" t="s">
        <v>672</v>
      </c>
      <c r="H97" s="11" t="s">
        <v>114</v>
      </c>
      <c r="I97" s="11" t="s">
        <v>673</v>
      </c>
      <c r="J97" s="11" t="s">
        <v>674</v>
      </c>
      <c r="K97" s="11" t="s">
        <v>208</v>
      </c>
      <c r="L97" s="11" t="s">
        <v>675</v>
      </c>
      <c r="M97" s="11" t="s">
        <v>154</v>
      </c>
      <c r="N97" s="14" t="s">
        <v>32</v>
      </c>
      <c r="O97" s="14" t="s">
        <v>33</v>
      </c>
      <c r="P97" s="42" t="s">
        <v>676</v>
      </c>
      <c r="Q97" s="42" t="s">
        <v>677</v>
      </c>
      <c r="R97" s="14" t="s">
        <v>34</v>
      </c>
      <c r="S97" s="17">
        <v>0</v>
      </c>
      <c r="T97" s="16">
        <v>13938000</v>
      </c>
    </row>
    <row r="98" spans="1:20" ht="51.75" customHeight="1">
      <c r="A98" s="4">
        <v>97</v>
      </c>
      <c r="B98" s="5" t="s">
        <v>678</v>
      </c>
      <c r="C98" s="6" t="s">
        <v>83</v>
      </c>
      <c r="D98" s="6" t="s">
        <v>37</v>
      </c>
      <c r="E98" s="5" t="s">
        <v>679</v>
      </c>
      <c r="F98" s="6" t="s">
        <v>680</v>
      </c>
      <c r="G98" s="6" t="s">
        <v>681</v>
      </c>
      <c r="H98" s="5" t="s">
        <v>86</v>
      </c>
      <c r="I98" s="5" t="s">
        <v>87</v>
      </c>
      <c r="J98" s="5" t="s">
        <v>682</v>
      </c>
      <c r="K98" s="5" t="s">
        <v>29</v>
      </c>
      <c r="L98" s="6" t="s">
        <v>30</v>
      </c>
      <c r="M98" s="5" t="s">
        <v>31</v>
      </c>
      <c r="N98" s="7" t="s">
        <v>32</v>
      </c>
      <c r="O98" s="7" t="s">
        <v>33</v>
      </c>
      <c r="P98" s="41">
        <v>46391</v>
      </c>
      <c r="Q98" s="41">
        <v>47487</v>
      </c>
      <c r="R98" s="7" t="s">
        <v>44</v>
      </c>
      <c r="S98" s="8">
        <v>0</v>
      </c>
      <c r="T98" s="9">
        <v>5651033.8499999996</v>
      </c>
    </row>
    <row r="99" spans="1:20" ht="51.75" customHeight="1">
      <c r="A99" s="10">
        <v>98</v>
      </c>
      <c r="B99" s="11" t="s">
        <v>683</v>
      </c>
      <c r="C99" s="12" t="s">
        <v>64</v>
      </c>
      <c r="D99" s="12" t="s">
        <v>65</v>
      </c>
      <c r="E99" s="11" t="s">
        <v>66</v>
      </c>
      <c r="F99" s="12" t="s">
        <v>67</v>
      </c>
      <c r="G99" s="12" t="s">
        <v>348</v>
      </c>
      <c r="H99" s="11" t="s">
        <v>69</v>
      </c>
      <c r="I99" s="11" t="s">
        <v>70</v>
      </c>
      <c r="J99" s="11" t="s">
        <v>684</v>
      </c>
      <c r="K99" s="11" t="s">
        <v>29</v>
      </c>
      <c r="L99" s="12" t="s">
        <v>30</v>
      </c>
      <c r="M99" s="11" t="s">
        <v>31</v>
      </c>
      <c r="N99" s="14" t="s">
        <v>32</v>
      </c>
      <c r="O99" s="14" t="s">
        <v>33</v>
      </c>
      <c r="P99" s="42" t="s">
        <v>685</v>
      </c>
      <c r="Q99" s="42" t="s">
        <v>686</v>
      </c>
      <c r="R99" s="14" t="s">
        <v>44</v>
      </c>
      <c r="S99" s="17">
        <v>0</v>
      </c>
      <c r="T99" s="16">
        <v>8749200</v>
      </c>
    </row>
    <row r="100" spans="1:20" ht="135.75" customHeight="1">
      <c r="A100" s="4">
        <v>99</v>
      </c>
      <c r="B100" s="5" t="s">
        <v>687</v>
      </c>
      <c r="C100" s="6" t="s">
        <v>182</v>
      </c>
      <c r="D100" s="6" t="s">
        <v>183</v>
      </c>
      <c r="E100" s="5" t="s">
        <v>184</v>
      </c>
      <c r="F100" s="6" t="s">
        <v>185</v>
      </c>
      <c r="G100" s="6" t="s">
        <v>186</v>
      </c>
      <c r="H100" s="5" t="s">
        <v>187</v>
      </c>
      <c r="I100" s="5" t="s">
        <v>188</v>
      </c>
      <c r="J100" s="5" t="s">
        <v>189</v>
      </c>
      <c r="K100" s="5" t="s">
        <v>61</v>
      </c>
      <c r="L100" s="6" t="s">
        <v>30</v>
      </c>
      <c r="M100" s="5" t="s">
        <v>62</v>
      </c>
      <c r="N100" s="7" t="s">
        <v>32</v>
      </c>
      <c r="O100" s="7" t="s">
        <v>33</v>
      </c>
      <c r="P100" s="41" t="s">
        <v>688</v>
      </c>
      <c r="Q100" s="41" t="s">
        <v>689</v>
      </c>
      <c r="R100" s="7" t="s">
        <v>44</v>
      </c>
      <c r="S100" s="8">
        <v>0</v>
      </c>
      <c r="T100" s="9">
        <v>3439000</v>
      </c>
    </row>
    <row r="101" spans="1:20" ht="67.5" customHeight="1">
      <c r="A101" s="10">
        <v>100</v>
      </c>
      <c r="B101" s="11" t="s">
        <v>690</v>
      </c>
      <c r="C101" s="12" t="s">
        <v>662</v>
      </c>
      <c r="D101" s="12" t="s">
        <v>92</v>
      </c>
      <c r="E101" s="11" t="s">
        <v>66</v>
      </c>
      <c r="F101" s="12" t="s">
        <v>93</v>
      </c>
      <c r="G101" s="12" t="s">
        <v>691</v>
      </c>
      <c r="H101" s="11" t="s">
        <v>692</v>
      </c>
      <c r="I101" s="11" t="s">
        <v>693</v>
      </c>
      <c r="J101" s="11" t="s">
        <v>694</v>
      </c>
      <c r="K101" s="11" t="s">
        <v>29</v>
      </c>
      <c r="L101" s="12" t="s">
        <v>30</v>
      </c>
      <c r="M101" s="11" t="s">
        <v>31</v>
      </c>
      <c r="N101" s="14" t="s">
        <v>550</v>
      </c>
      <c r="O101" s="14" t="s">
        <v>33</v>
      </c>
      <c r="P101" s="42">
        <v>47488</v>
      </c>
      <c r="Q101" s="42" t="s">
        <v>30</v>
      </c>
      <c r="R101" s="14" t="s">
        <v>44</v>
      </c>
      <c r="S101" s="17">
        <v>0</v>
      </c>
      <c r="T101" s="16">
        <v>2305980</v>
      </c>
    </row>
    <row r="102" spans="1:20" ht="67.5" customHeight="1">
      <c r="A102" s="4">
        <v>101</v>
      </c>
      <c r="B102" s="5" t="s">
        <v>695</v>
      </c>
      <c r="C102" s="6" t="s">
        <v>101</v>
      </c>
      <c r="D102" s="6" t="s">
        <v>102</v>
      </c>
      <c r="E102" s="5" t="s">
        <v>103</v>
      </c>
      <c r="F102" s="6" t="s">
        <v>104</v>
      </c>
      <c r="G102" s="6" t="s">
        <v>105</v>
      </c>
      <c r="H102" s="5" t="s">
        <v>106</v>
      </c>
      <c r="I102" s="5" t="s">
        <v>107</v>
      </c>
      <c r="J102" s="5" t="s">
        <v>696</v>
      </c>
      <c r="K102" s="5" t="s">
        <v>61</v>
      </c>
      <c r="L102" s="6" t="s">
        <v>30</v>
      </c>
      <c r="M102" s="5" t="s">
        <v>98</v>
      </c>
      <c r="N102" s="7" t="s">
        <v>32</v>
      </c>
      <c r="O102" s="7" t="s">
        <v>33</v>
      </c>
      <c r="P102" s="41">
        <v>47150</v>
      </c>
      <c r="Q102" s="41" t="s">
        <v>689</v>
      </c>
      <c r="R102" s="7" t="s">
        <v>44</v>
      </c>
      <c r="S102" s="8">
        <v>0</v>
      </c>
      <c r="T102" s="9">
        <v>11488500</v>
      </c>
    </row>
    <row r="103" spans="1:20" ht="84.75" customHeight="1">
      <c r="A103" s="10">
        <v>102</v>
      </c>
      <c r="B103" s="11" t="s">
        <v>697</v>
      </c>
      <c r="C103" s="12" t="s">
        <v>130</v>
      </c>
      <c r="D103" s="12" t="s">
        <v>22</v>
      </c>
      <c r="E103" s="11" t="s">
        <v>698</v>
      </c>
      <c r="F103" s="12" t="s">
        <v>216</v>
      </c>
      <c r="G103" s="12" t="s">
        <v>217</v>
      </c>
      <c r="H103" s="11" t="s">
        <v>218</v>
      </c>
      <c r="I103" s="11" t="s">
        <v>219</v>
      </c>
      <c r="J103" s="11" t="s">
        <v>699</v>
      </c>
      <c r="K103" s="11" t="s">
        <v>61</v>
      </c>
      <c r="L103" s="12" t="s">
        <v>30</v>
      </c>
      <c r="M103" s="11" t="s">
        <v>700</v>
      </c>
      <c r="N103" s="14" t="s">
        <v>32</v>
      </c>
      <c r="O103" s="14" t="s">
        <v>118</v>
      </c>
      <c r="P103" s="42">
        <v>46847</v>
      </c>
      <c r="Q103" s="42" t="s">
        <v>689</v>
      </c>
      <c r="R103" s="14" t="s">
        <v>44</v>
      </c>
      <c r="S103" s="17">
        <v>0</v>
      </c>
      <c r="T103" s="16">
        <v>40000000</v>
      </c>
    </row>
    <row r="104" spans="1:20" ht="51.75" customHeight="1">
      <c r="A104" s="4">
        <v>103</v>
      </c>
      <c r="B104" s="5" t="s">
        <v>701</v>
      </c>
      <c r="C104" s="6" t="s">
        <v>426</v>
      </c>
      <c r="D104" s="6" t="s">
        <v>151</v>
      </c>
      <c r="E104" s="6" t="s">
        <v>427</v>
      </c>
      <c r="F104" s="6" t="s">
        <v>224</v>
      </c>
      <c r="G104" s="6" t="s">
        <v>152</v>
      </c>
      <c r="H104" s="13" t="s">
        <v>702</v>
      </c>
      <c r="I104" s="13" t="s">
        <v>312</v>
      </c>
      <c r="J104" s="6" t="s">
        <v>30</v>
      </c>
      <c r="K104" s="6" t="s">
        <v>30</v>
      </c>
      <c r="L104" s="6" t="s">
        <v>30</v>
      </c>
      <c r="M104" s="13" t="s">
        <v>154</v>
      </c>
      <c r="N104" s="7" t="s">
        <v>32</v>
      </c>
      <c r="O104" s="7" t="s">
        <v>118</v>
      </c>
      <c r="P104" s="41">
        <v>46569</v>
      </c>
      <c r="Q104" s="41">
        <v>47300</v>
      </c>
      <c r="R104" s="7" t="s">
        <v>44</v>
      </c>
      <c r="S104" s="15">
        <v>0</v>
      </c>
      <c r="T104" s="9">
        <v>20000000</v>
      </c>
    </row>
    <row r="105" spans="1:20" ht="51.75" customHeight="1">
      <c r="A105" s="10">
        <v>104</v>
      </c>
      <c r="B105" s="11" t="s">
        <v>703</v>
      </c>
      <c r="C105" s="12" t="s">
        <v>704</v>
      </c>
      <c r="D105" s="12" t="s">
        <v>65</v>
      </c>
      <c r="E105" s="11" t="s">
        <v>203</v>
      </c>
      <c r="F105" s="12" t="s">
        <v>705</v>
      </c>
      <c r="G105" s="12" t="s">
        <v>40</v>
      </c>
      <c r="H105" s="11" t="s">
        <v>201</v>
      </c>
      <c r="I105" s="11" t="s">
        <v>206</v>
      </c>
      <c r="J105" s="11" t="s">
        <v>706</v>
      </c>
      <c r="K105" s="11" t="s">
        <v>208</v>
      </c>
      <c r="L105" s="12" t="s">
        <v>30</v>
      </c>
      <c r="M105" s="11" t="s">
        <v>98</v>
      </c>
      <c r="N105" s="14" t="s">
        <v>32</v>
      </c>
      <c r="O105" s="14" t="s">
        <v>33</v>
      </c>
      <c r="P105" s="42">
        <v>46427</v>
      </c>
      <c r="Q105" s="42">
        <v>47523</v>
      </c>
      <c r="R105" s="14" t="s">
        <v>44</v>
      </c>
      <c r="S105" s="17">
        <v>0</v>
      </c>
      <c r="T105" s="16">
        <v>538430</v>
      </c>
    </row>
    <row r="106" spans="1:20" ht="67.5" customHeight="1">
      <c r="A106" s="4">
        <v>105</v>
      </c>
      <c r="B106" s="5" t="s">
        <v>707</v>
      </c>
      <c r="C106" s="6" t="s">
        <v>494</v>
      </c>
      <c r="D106" s="6" t="s">
        <v>606</v>
      </c>
      <c r="E106" s="6" t="s">
        <v>75</v>
      </c>
      <c r="F106" s="6" t="s">
        <v>708</v>
      </c>
      <c r="G106" s="6" t="s">
        <v>709</v>
      </c>
      <c r="H106" s="13" t="s">
        <v>710</v>
      </c>
      <c r="I106" s="13" t="s">
        <v>711</v>
      </c>
      <c r="J106" s="5" t="s">
        <v>712</v>
      </c>
      <c r="K106" s="6" t="s">
        <v>30</v>
      </c>
      <c r="L106" s="6" t="s">
        <v>30</v>
      </c>
      <c r="M106" s="13" t="s">
        <v>254</v>
      </c>
      <c r="N106" s="7" t="s">
        <v>50</v>
      </c>
      <c r="O106" s="7" t="s">
        <v>33</v>
      </c>
      <c r="P106" s="41">
        <v>46391</v>
      </c>
      <c r="Q106" s="41">
        <v>47487</v>
      </c>
      <c r="R106" s="7" t="s">
        <v>44</v>
      </c>
      <c r="S106" s="15">
        <v>0</v>
      </c>
      <c r="T106" s="9">
        <v>4000000</v>
      </c>
    </row>
    <row r="107" spans="1:20" ht="51.75" customHeight="1">
      <c r="A107" s="10">
        <v>106</v>
      </c>
      <c r="B107" s="11" t="s">
        <v>713</v>
      </c>
      <c r="C107" s="12" t="s">
        <v>426</v>
      </c>
      <c r="D107" s="12" t="s">
        <v>714</v>
      </c>
      <c r="E107" s="18" t="s">
        <v>715</v>
      </c>
      <c r="F107" s="12" t="s">
        <v>716</v>
      </c>
      <c r="G107" s="12" t="s">
        <v>717</v>
      </c>
      <c r="H107" s="13" t="s">
        <v>718</v>
      </c>
      <c r="I107" s="13" t="s">
        <v>719</v>
      </c>
      <c r="J107" s="12" t="s">
        <v>30</v>
      </c>
      <c r="K107" s="12" t="s">
        <v>30</v>
      </c>
      <c r="L107" s="12" t="s">
        <v>30</v>
      </c>
      <c r="M107" s="13" t="s">
        <v>98</v>
      </c>
      <c r="N107" s="14" t="s">
        <v>50</v>
      </c>
      <c r="O107" s="14" t="s">
        <v>99</v>
      </c>
      <c r="P107" s="42">
        <v>46757</v>
      </c>
      <c r="Q107" s="42">
        <v>47853</v>
      </c>
      <c r="R107" s="14" t="s">
        <v>44</v>
      </c>
      <c r="S107" s="15">
        <v>0</v>
      </c>
      <c r="T107" s="16">
        <v>1200000</v>
      </c>
    </row>
    <row r="108" spans="1:20" ht="51.75" customHeight="1">
      <c r="A108" s="4">
        <v>107</v>
      </c>
      <c r="B108" s="5" t="s">
        <v>720</v>
      </c>
      <c r="C108" s="6" t="s">
        <v>426</v>
      </c>
      <c r="D108" s="6" t="s">
        <v>151</v>
      </c>
      <c r="E108" s="6" t="s">
        <v>38</v>
      </c>
      <c r="F108" s="6" t="s">
        <v>721</v>
      </c>
      <c r="G108" s="6" t="s">
        <v>152</v>
      </c>
      <c r="H108" s="13" t="s">
        <v>722</v>
      </c>
      <c r="I108" s="13" t="s">
        <v>78</v>
      </c>
      <c r="J108" s="6" t="s">
        <v>30</v>
      </c>
      <c r="K108" s="6" t="s">
        <v>30</v>
      </c>
      <c r="L108" s="6" t="s">
        <v>30</v>
      </c>
      <c r="M108" s="13" t="s">
        <v>31</v>
      </c>
      <c r="N108" s="7" t="s">
        <v>32</v>
      </c>
      <c r="O108" s="7" t="s">
        <v>33</v>
      </c>
      <c r="P108" s="41">
        <v>46394</v>
      </c>
      <c r="Q108" s="41">
        <v>47490</v>
      </c>
      <c r="R108" s="7" t="s">
        <v>44</v>
      </c>
      <c r="S108" s="15">
        <v>0</v>
      </c>
      <c r="T108" s="9">
        <v>6000000</v>
      </c>
    </row>
    <row r="109" spans="1:20" ht="51.75" customHeight="1">
      <c r="A109" s="10">
        <v>108</v>
      </c>
      <c r="B109" s="11" t="s">
        <v>723</v>
      </c>
      <c r="C109" s="12" t="s">
        <v>724</v>
      </c>
      <c r="D109" s="12" t="s">
        <v>378</v>
      </c>
      <c r="E109" s="12" t="s">
        <v>46</v>
      </c>
      <c r="F109" s="12" t="s">
        <v>725</v>
      </c>
      <c r="G109" s="12" t="s">
        <v>726</v>
      </c>
      <c r="H109" s="13" t="s">
        <v>727</v>
      </c>
      <c r="I109" s="13" t="s">
        <v>728</v>
      </c>
      <c r="J109" s="12" t="s">
        <v>30</v>
      </c>
      <c r="K109" s="12" t="s">
        <v>30</v>
      </c>
      <c r="L109" s="12" t="s">
        <v>30</v>
      </c>
      <c r="M109" s="13" t="s">
        <v>729</v>
      </c>
      <c r="N109" s="14" t="s">
        <v>32</v>
      </c>
      <c r="O109" s="14" t="s">
        <v>33</v>
      </c>
      <c r="P109" s="42">
        <v>46394</v>
      </c>
      <c r="Q109" s="42">
        <v>47125</v>
      </c>
      <c r="R109" s="14" t="s">
        <v>44</v>
      </c>
      <c r="S109" s="15">
        <v>0</v>
      </c>
      <c r="T109" s="16">
        <v>5000000</v>
      </c>
    </row>
    <row r="110" spans="1:20" ht="51.75" customHeight="1">
      <c r="A110" s="4">
        <v>109</v>
      </c>
      <c r="B110" s="5" t="s">
        <v>730</v>
      </c>
      <c r="C110" s="6" t="s">
        <v>426</v>
      </c>
      <c r="D110" s="6" t="s">
        <v>731</v>
      </c>
      <c r="E110" s="6" t="s">
        <v>75</v>
      </c>
      <c r="F110" s="6" t="s">
        <v>428</v>
      </c>
      <c r="G110" s="6" t="s">
        <v>732</v>
      </c>
      <c r="H110" s="13" t="s">
        <v>733</v>
      </c>
      <c r="I110" s="13" t="s">
        <v>78</v>
      </c>
      <c r="J110" s="5" t="s">
        <v>734</v>
      </c>
      <c r="K110" s="6" t="s">
        <v>30</v>
      </c>
      <c r="L110" s="6" t="s">
        <v>30</v>
      </c>
      <c r="M110" s="13" t="s">
        <v>31</v>
      </c>
      <c r="N110" s="7" t="s">
        <v>32</v>
      </c>
      <c r="O110" s="7" t="s">
        <v>33</v>
      </c>
      <c r="P110" s="41">
        <v>46394</v>
      </c>
      <c r="Q110" s="41">
        <v>47125</v>
      </c>
      <c r="R110" s="7" t="s">
        <v>44</v>
      </c>
      <c r="S110" s="15">
        <v>0</v>
      </c>
      <c r="T110" s="9">
        <v>5000000</v>
      </c>
    </row>
    <row r="111" spans="1:20" ht="51.75" customHeight="1">
      <c r="A111" s="10">
        <v>110</v>
      </c>
      <c r="B111" s="11" t="s">
        <v>735</v>
      </c>
      <c r="C111" s="12" t="s">
        <v>724</v>
      </c>
      <c r="D111" s="12" t="s">
        <v>151</v>
      </c>
      <c r="E111" s="12" t="s">
        <v>46</v>
      </c>
      <c r="F111" s="12" t="s">
        <v>617</v>
      </c>
      <c r="G111" s="12" t="s">
        <v>353</v>
      </c>
      <c r="H111" s="13" t="s">
        <v>736</v>
      </c>
      <c r="I111" s="13" t="s">
        <v>78</v>
      </c>
      <c r="J111" s="12" t="s">
        <v>30</v>
      </c>
      <c r="K111" s="12" t="s">
        <v>30</v>
      </c>
      <c r="L111" s="12" t="s">
        <v>30</v>
      </c>
      <c r="M111" s="13" t="s">
        <v>31</v>
      </c>
      <c r="N111" s="14" t="s">
        <v>32</v>
      </c>
      <c r="O111" s="14" t="s">
        <v>33</v>
      </c>
      <c r="P111" s="42">
        <v>46391</v>
      </c>
      <c r="Q111" s="42">
        <v>46756</v>
      </c>
      <c r="R111" s="14" t="s">
        <v>44</v>
      </c>
      <c r="S111" s="15">
        <v>0</v>
      </c>
      <c r="T111" s="16">
        <v>8000000</v>
      </c>
    </row>
    <row r="112" spans="1:20" ht="51.75" customHeight="1">
      <c r="A112" s="4">
        <v>111</v>
      </c>
      <c r="B112" s="5" t="s">
        <v>737</v>
      </c>
      <c r="C112" s="6" t="s">
        <v>738</v>
      </c>
      <c r="D112" s="6" t="s">
        <v>151</v>
      </c>
      <c r="E112" s="6" t="s">
        <v>301</v>
      </c>
      <c r="F112" s="6" t="s">
        <v>739</v>
      </c>
      <c r="G112" s="6" t="s">
        <v>205</v>
      </c>
      <c r="H112" s="13" t="s">
        <v>740</v>
      </c>
      <c r="I112" s="13" t="s">
        <v>96</v>
      </c>
      <c r="J112" s="6" t="s">
        <v>30</v>
      </c>
      <c r="K112" s="6" t="s">
        <v>30</v>
      </c>
      <c r="L112" s="6" t="s">
        <v>30</v>
      </c>
      <c r="M112" s="13" t="s">
        <v>31</v>
      </c>
      <c r="N112" s="7" t="s">
        <v>32</v>
      </c>
      <c r="O112" s="7" t="s">
        <v>33</v>
      </c>
      <c r="P112" s="41">
        <v>46394</v>
      </c>
      <c r="Q112" s="41">
        <v>46759</v>
      </c>
      <c r="R112" s="7" t="s">
        <v>44</v>
      </c>
      <c r="S112" s="15">
        <v>0</v>
      </c>
      <c r="T112" s="9">
        <v>10000000</v>
      </c>
    </row>
    <row r="113" spans="1:20" ht="67.5" customHeight="1">
      <c r="A113" s="10">
        <v>112</v>
      </c>
      <c r="B113" s="11" t="s">
        <v>741</v>
      </c>
      <c r="C113" s="12" t="s">
        <v>202</v>
      </c>
      <c r="D113" s="12" t="s">
        <v>151</v>
      </c>
      <c r="E113" s="12" t="s">
        <v>75</v>
      </c>
      <c r="F113" s="12" t="s">
        <v>742</v>
      </c>
      <c r="G113" s="12" t="s">
        <v>205</v>
      </c>
      <c r="H113" s="13" t="s">
        <v>743</v>
      </c>
      <c r="I113" s="13" t="s">
        <v>312</v>
      </c>
      <c r="J113" s="11" t="s">
        <v>744</v>
      </c>
      <c r="K113" s="12" t="s">
        <v>30</v>
      </c>
      <c r="L113" s="12" t="s">
        <v>30</v>
      </c>
      <c r="M113" s="13" t="s">
        <v>31</v>
      </c>
      <c r="N113" s="14" t="s">
        <v>32</v>
      </c>
      <c r="O113" s="14" t="s">
        <v>118</v>
      </c>
      <c r="P113" s="42">
        <v>47119</v>
      </c>
      <c r="Q113" s="42">
        <v>48945</v>
      </c>
      <c r="R113" s="14" t="s">
        <v>44</v>
      </c>
      <c r="S113" s="15">
        <v>0</v>
      </c>
      <c r="T113" s="16">
        <v>30000000</v>
      </c>
    </row>
    <row r="114" spans="1:20" ht="51.75" customHeight="1">
      <c r="A114" s="4">
        <v>113</v>
      </c>
      <c r="B114" s="5" t="s">
        <v>745</v>
      </c>
      <c r="C114" s="6" t="s">
        <v>202</v>
      </c>
      <c r="D114" s="6" t="s">
        <v>151</v>
      </c>
      <c r="E114" s="18" t="s">
        <v>746</v>
      </c>
      <c r="F114" s="6" t="s">
        <v>747</v>
      </c>
      <c r="G114" s="6" t="s">
        <v>152</v>
      </c>
      <c r="H114" s="13" t="s">
        <v>748</v>
      </c>
      <c r="I114" s="13" t="s">
        <v>312</v>
      </c>
      <c r="J114" s="5" t="s">
        <v>749</v>
      </c>
      <c r="K114" s="6" t="s">
        <v>30</v>
      </c>
      <c r="L114" s="6" t="s">
        <v>30</v>
      </c>
      <c r="M114" s="13" t="s">
        <v>31</v>
      </c>
      <c r="N114" s="7" t="s">
        <v>32</v>
      </c>
      <c r="O114" s="7" t="s">
        <v>33</v>
      </c>
      <c r="P114" s="41" t="s">
        <v>750</v>
      </c>
      <c r="Q114" s="41" t="s">
        <v>751</v>
      </c>
      <c r="R114" s="7" t="s">
        <v>44</v>
      </c>
      <c r="S114" s="15">
        <v>0</v>
      </c>
      <c r="T114" s="9">
        <v>15000000</v>
      </c>
    </row>
    <row r="115" spans="1:20" ht="67.5" customHeight="1">
      <c r="A115" s="10">
        <v>114</v>
      </c>
      <c r="B115" s="11" t="s">
        <v>210</v>
      </c>
      <c r="C115" s="12" t="s">
        <v>36</v>
      </c>
      <c r="D115" s="12" t="s">
        <v>211</v>
      </c>
      <c r="E115" s="11" t="s">
        <v>23</v>
      </c>
      <c r="F115" s="12" t="s">
        <v>212</v>
      </c>
      <c r="G115" s="12" t="s">
        <v>124</v>
      </c>
      <c r="H115" s="11" t="s">
        <v>213</v>
      </c>
      <c r="I115" s="11" t="s">
        <v>214</v>
      </c>
      <c r="J115" s="11" t="s">
        <v>189</v>
      </c>
      <c r="K115" s="11" t="s">
        <v>29</v>
      </c>
      <c r="L115" s="12" t="s">
        <v>30</v>
      </c>
      <c r="M115" s="11" t="s">
        <v>31</v>
      </c>
      <c r="N115" s="14" t="s">
        <v>50</v>
      </c>
      <c r="O115" s="14" t="s">
        <v>33</v>
      </c>
      <c r="P115" s="42">
        <v>45607</v>
      </c>
      <c r="Q115" s="42">
        <v>46702</v>
      </c>
      <c r="R115" s="14" t="s">
        <v>34</v>
      </c>
      <c r="S115" s="17">
        <v>0</v>
      </c>
      <c r="T115" s="16">
        <v>23966050.260000002</v>
      </c>
    </row>
    <row r="116" spans="1:20" ht="51.75" customHeight="1">
      <c r="A116" s="4">
        <v>115</v>
      </c>
      <c r="B116" s="5" t="s">
        <v>222</v>
      </c>
      <c r="C116" s="6" t="s">
        <v>223</v>
      </c>
      <c r="D116" s="6" t="s">
        <v>151</v>
      </c>
      <c r="E116" s="6" t="s">
        <v>75</v>
      </c>
      <c r="F116" s="6" t="s">
        <v>224</v>
      </c>
      <c r="G116" s="6" t="s">
        <v>152</v>
      </c>
      <c r="H116" s="5" t="s">
        <v>225</v>
      </c>
      <c r="I116" s="13" t="s">
        <v>226</v>
      </c>
      <c r="J116" s="5" t="s">
        <v>227</v>
      </c>
      <c r="K116" s="6" t="s">
        <v>30</v>
      </c>
      <c r="L116" s="6" t="s">
        <v>30</v>
      </c>
      <c r="M116" s="13" t="s">
        <v>154</v>
      </c>
      <c r="N116" s="7" t="s">
        <v>32</v>
      </c>
      <c r="O116" s="7" t="s">
        <v>118</v>
      </c>
      <c r="P116" s="41" t="s">
        <v>752</v>
      </c>
      <c r="Q116" s="41" t="s">
        <v>753</v>
      </c>
      <c r="R116" s="7" t="s">
        <v>34</v>
      </c>
      <c r="S116" s="15"/>
      <c r="T116" s="9">
        <v>86670900</v>
      </c>
    </row>
    <row r="117" spans="1:20" ht="118.5" customHeight="1">
      <c r="A117" s="10">
        <v>116</v>
      </c>
      <c r="B117" s="11" t="s">
        <v>255</v>
      </c>
      <c r="C117" s="12" t="s">
        <v>110</v>
      </c>
      <c r="D117" s="12" t="s">
        <v>151</v>
      </c>
      <c r="E117" s="11" t="s">
        <v>203</v>
      </c>
      <c r="F117" s="12" t="s">
        <v>256</v>
      </c>
      <c r="G117" s="12" t="s">
        <v>754</v>
      </c>
      <c r="H117" s="11" t="s">
        <v>258</v>
      </c>
      <c r="I117" s="11" t="s">
        <v>259</v>
      </c>
      <c r="J117" s="11" t="s">
        <v>755</v>
      </c>
      <c r="K117" s="11" t="s">
        <v>261</v>
      </c>
      <c r="L117" s="12" t="s">
        <v>30</v>
      </c>
      <c r="M117" s="11" t="s">
        <v>254</v>
      </c>
      <c r="N117" s="14" t="s">
        <v>32</v>
      </c>
      <c r="O117" s="14" t="s">
        <v>33</v>
      </c>
      <c r="P117" s="42" t="s">
        <v>756</v>
      </c>
      <c r="Q117" s="42" t="s">
        <v>757</v>
      </c>
      <c r="R117" s="14" t="s">
        <v>44</v>
      </c>
      <c r="S117" s="17">
        <v>0</v>
      </c>
      <c r="T117" s="16">
        <v>24000000</v>
      </c>
    </row>
    <row r="118" spans="1:20" ht="51.75" customHeight="1">
      <c r="A118" s="4">
        <v>117</v>
      </c>
      <c r="B118" s="5" t="s">
        <v>758</v>
      </c>
      <c r="C118" s="6" t="s">
        <v>54</v>
      </c>
      <c r="D118" s="6" t="s">
        <v>519</v>
      </c>
      <c r="E118" s="18" t="s">
        <v>759</v>
      </c>
      <c r="F118" s="6" t="s">
        <v>760</v>
      </c>
      <c r="G118" s="6" t="s">
        <v>761</v>
      </c>
      <c r="H118" s="5" t="s">
        <v>762</v>
      </c>
      <c r="I118" s="13" t="s">
        <v>433</v>
      </c>
      <c r="J118" s="5" t="s">
        <v>763</v>
      </c>
      <c r="K118" s="6" t="s">
        <v>30</v>
      </c>
      <c r="L118" s="6" t="s">
        <v>30</v>
      </c>
      <c r="M118" s="13" t="s">
        <v>175</v>
      </c>
      <c r="N118" s="7" t="s">
        <v>32</v>
      </c>
      <c r="O118" s="7" t="s">
        <v>33</v>
      </c>
      <c r="P118" s="41">
        <v>46026</v>
      </c>
      <c r="Q118" s="41">
        <v>47122</v>
      </c>
      <c r="R118" s="7" t="s">
        <v>44</v>
      </c>
      <c r="S118" s="15">
        <v>0</v>
      </c>
      <c r="T118" s="9">
        <v>9000000</v>
      </c>
    </row>
    <row r="119" spans="1:20" ht="102" customHeight="1">
      <c r="A119" s="10">
        <v>118</v>
      </c>
      <c r="B119" s="11" t="s">
        <v>464</v>
      </c>
      <c r="C119" s="12" t="s">
        <v>110</v>
      </c>
      <c r="D119" s="12" t="s">
        <v>136</v>
      </c>
      <c r="E119" s="11" t="s">
        <v>66</v>
      </c>
      <c r="F119" s="12" t="s">
        <v>465</v>
      </c>
      <c r="G119" s="12" t="s">
        <v>466</v>
      </c>
      <c r="H119" s="11" t="s">
        <v>764</v>
      </c>
      <c r="I119" s="11" t="s">
        <v>468</v>
      </c>
      <c r="J119" s="11" t="s">
        <v>469</v>
      </c>
      <c r="K119" s="11" t="s">
        <v>29</v>
      </c>
      <c r="L119" s="11" t="s">
        <v>470</v>
      </c>
      <c r="M119" s="11" t="s">
        <v>31</v>
      </c>
      <c r="N119" s="14" t="s">
        <v>32</v>
      </c>
      <c r="O119" s="14" t="s">
        <v>33</v>
      </c>
      <c r="P119" s="42">
        <v>46394</v>
      </c>
      <c r="Q119" s="42">
        <v>47490</v>
      </c>
      <c r="R119" s="14" t="s">
        <v>44</v>
      </c>
      <c r="S119" s="17">
        <v>11</v>
      </c>
      <c r="T119" s="16">
        <v>24000000</v>
      </c>
    </row>
    <row r="120" spans="1:20" ht="67.5" customHeight="1">
      <c r="A120" s="4">
        <v>119</v>
      </c>
      <c r="B120" s="5" t="s">
        <v>619</v>
      </c>
      <c r="C120" s="6" t="s">
        <v>528</v>
      </c>
      <c r="D120" s="6" t="s">
        <v>519</v>
      </c>
      <c r="E120" s="5" t="s">
        <v>765</v>
      </c>
      <c r="F120" s="6" t="s">
        <v>621</v>
      </c>
      <c r="G120" s="6" t="s">
        <v>622</v>
      </c>
      <c r="H120" s="5" t="s">
        <v>766</v>
      </c>
      <c r="I120" s="5" t="s">
        <v>624</v>
      </c>
      <c r="J120" s="5" t="s">
        <v>625</v>
      </c>
      <c r="K120" s="5" t="s">
        <v>29</v>
      </c>
      <c r="L120" s="6" t="s">
        <v>30</v>
      </c>
      <c r="M120" s="5" t="s">
        <v>31</v>
      </c>
      <c r="N120" s="7" t="s">
        <v>32</v>
      </c>
      <c r="O120" s="7" t="s">
        <v>118</v>
      </c>
      <c r="P120" s="41">
        <v>47128</v>
      </c>
      <c r="Q120" s="41">
        <v>48223</v>
      </c>
      <c r="R120" s="7" t="s">
        <v>44</v>
      </c>
      <c r="S120" s="8">
        <v>0</v>
      </c>
      <c r="T120" s="9">
        <v>5700090</v>
      </c>
    </row>
    <row r="121" spans="1:20" ht="51.75" customHeight="1">
      <c r="A121" s="10">
        <v>120</v>
      </c>
      <c r="B121" s="11" t="s">
        <v>767</v>
      </c>
      <c r="C121" s="12" t="s">
        <v>54</v>
      </c>
      <c r="D121" s="12" t="s">
        <v>435</v>
      </c>
      <c r="E121" s="18" t="s">
        <v>768</v>
      </c>
      <c r="F121" s="12" t="s">
        <v>769</v>
      </c>
      <c r="G121" s="12" t="s">
        <v>770</v>
      </c>
      <c r="H121" s="11" t="s">
        <v>771</v>
      </c>
      <c r="I121" s="13" t="s">
        <v>772</v>
      </c>
      <c r="J121" s="12" t="s">
        <v>30</v>
      </c>
      <c r="K121" s="12" t="s">
        <v>30</v>
      </c>
      <c r="L121" s="12" t="s">
        <v>30</v>
      </c>
      <c r="M121" s="13" t="s">
        <v>439</v>
      </c>
      <c r="N121" s="14" t="s">
        <v>32</v>
      </c>
      <c r="O121" s="14" t="s">
        <v>99</v>
      </c>
      <c r="P121" s="42">
        <v>47125</v>
      </c>
      <c r="Q121" s="42">
        <v>48220</v>
      </c>
      <c r="R121" s="14" t="s">
        <v>44</v>
      </c>
      <c r="S121" s="15">
        <v>0</v>
      </c>
      <c r="T121" s="16">
        <v>2300000</v>
      </c>
    </row>
    <row r="122" spans="1:20" ht="67.5" customHeight="1">
      <c r="A122" s="4">
        <v>121</v>
      </c>
      <c r="B122" s="5" t="s">
        <v>773</v>
      </c>
      <c r="C122" s="6" t="s">
        <v>110</v>
      </c>
      <c r="D122" s="6" t="s">
        <v>65</v>
      </c>
      <c r="E122" s="18" t="s">
        <v>774</v>
      </c>
      <c r="F122" s="6" t="s">
        <v>224</v>
      </c>
      <c r="G122" s="6" t="s">
        <v>40</v>
      </c>
      <c r="H122" s="5" t="s">
        <v>775</v>
      </c>
      <c r="I122" s="13" t="s">
        <v>517</v>
      </c>
      <c r="J122" s="5" t="s">
        <v>776</v>
      </c>
      <c r="K122" s="6" t="s">
        <v>30</v>
      </c>
      <c r="L122" s="6" t="s">
        <v>30</v>
      </c>
      <c r="M122" s="13" t="s">
        <v>148</v>
      </c>
      <c r="N122" s="7" t="s">
        <v>32</v>
      </c>
      <c r="O122" s="7" t="s">
        <v>33</v>
      </c>
      <c r="P122" s="41">
        <v>47392</v>
      </c>
      <c r="Q122" s="41">
        <v>48488</v>
      </c>
      <c r="R122" s="7" t="s">
        <v>44</v>
      </c>
      <c r="S122" s="15">
        <v>0</v>
      </c>
      <c r="T122" s="9">
        <v>10000000</v>
      </c>
    </row>
    <row r="123" spans="1:20" ht="67.5" customHeight="1">
      <c r="A123" s="10">
        <v>122</v>
      </c>
      <c r="B123" s="11" t="s">
        <v>777</v>
      </c>
      <c r="C123" s="12" t="s">
        <v>263</v>
      </c>
      <c r="D123" s="12" t="s">
        <v>168</v>
      </c>
      <c r="E123" s="18" t="s">
        <v>778</v>
      </c>
      <c r="F123" s="12" t="s">
        <v>779</v>
      </c>
      <c r="G123" s="12" t="s">
        <v>265</v>
      </c>
      <c r="H123" s="11" t="s">
        <v>780</v>
      </c>
      <c r="I123" s="13" t="s">
        <v>517</v>
      </c>
      <c r="J123" s="12" t="s">
        <v>30</v>
      </c>
      <c r="K123" s="12" t="s">
        <v>30</v>
      </c>
      <c r="L123" s="12" t="s">
        <v>30</v>
      </c>
      <c r="M123" s="13" t="s">
        <v>198</v>
      </c>
      <c r="N123" s="14" t="s">
        <v>32</v>
      </c>
      <c r="O123" s="14" t="s">
        <v>118</v>
      </c>
      <c r="P123" s="42">
        <v>47125</v>
      </c>
      <c r="Q123" s="42">
        <v>48951</v>
      </c>
      <c r="R123" s="14" t="s">
        <v>44</v>
      </c>
      <c r="S123" s="15">
        <v>0</v>
      </c>
      <c r="T123" s="16">
        <v>400000000</v>
      </c>
    </row>
    <row r="124" spans="1:20" ht="67.5" customHeight="1">
      <c r="A124" s="4">
        <v>123</v>
      </c>
      <c r="B124" s="5" t="s">
        <v>781</v>
      </c>
      <c r="C124" s="6" t="s">
        <v>458</v>
      </c>
      <c r="D124" s="6" t="s">
        <v>300</v>
      </c>
      <c r="E124" s="18" t="s">
        <v>778</v>
      </c>
      <c r="F124" s="6" t="s">
        <v>782</v>
      </c>
      <c r="G124" s="6" t="s">
        <v>783</v>
      </c>
      <c r="H124" s="5" t="s">
        <v>784</v>
      </c>
      <c r="I124" s="13" t="s">
        <v>785</v>
      </c>
      <c r="J124" s="6" t="s">
        <v>30</v>
      </c>
      <c r="K124" s="6" t="s">
        <v>30</v>
      </c>
      <c r="L124" s="6" t="s">
        <v>30</v>
      </c>
      <c r="M124" s="13" t="s">
        <v>786</v>
      </c>
      <c r="N124" s="7" t="s">
        <v>32</v>
      </c>
      <c r="O124" s="7" t="s">
        <v>33</v>
      </c>
      <c r="P124" s="41">
        <v>47125</v>
      </c>
      <c r="Q124" s="41">
        <v>48951</v>
      </c>
      <c r="R124" s="7" t="s">
        <v>44</v>
      </c>
      <c r="S124" s="15">
        <v>0</v>
      </c>
      <c r="T124" s="9">
        <v>5000000</v>
      </c>
    </row>
    <row r="125" spans="1:20" ht="51.75" customHeight="1">
      <c r="A125" s="10">
        <v>124</v>
      </c>
      <c r="B125" s="11" t="s">
        <v>787</v>
      </c>
      <c r="C125" s="12" t="s">
        <v>110</v>
      </c>
      <c r="D125" s="12" t="s">
        <v>136</v>
      </c>
      <c r="E125" s="18" t="s">
        <v>768</v>
      </c>
      <c r="F125" s="12" t="s">
        <v>224</v>
      </c>
      <c r="G125" s="12" t="s">
        <v>40</v>
      </c>
      <c r="H125" s="13" t="s">
        <v>788</v>
      </c>
      <c r="I125" s="13" t="s">
        <v>789</v>
      </c>
      <c r="J125" s="11" t="s">
        <v>790</v>
      </c>
      <c r="K125" s="12" t="s">
        <v>30</v>
      </c>
      <c r="L125" s="12" t="s">
        <v>30</v>
      </c>
      <c r="M125" s="13" t="s">
        <v>148</v>
      </c>
      <c r="N125" s="14" t="s">
        <v>32</v>
      </c>
      <c r="O125" s="14" t="s">
        <v>99</v>
      </c>
      <c r="P125" s="42" t="s">
        <v>791</v>
      </c>
      <c r="Q125" s="42" t="s">
        <v>30</v>
      </c>
      <c r="R125" s="14" t="s">
        <v>44</v>
      </c>
      <c r="S125" s="15">
        <v>0</v>
      </c>
      <c r="T125" s="16">
        <v>2500000</v>
      </c>
    </row>
    <row r="126" spans="1:20" ht="51.75" customHeight="1">
      <c r="A126" s="4">
        <v>125</v>
      </c>
      <c r="B126" s="5" t="s">
        <v>792</v>
      </c>
      <c r="C126" s="6" t="s">
        <v>64</v>
      </c>
      <c r="D126" s="6" t="s">
        <v>151</v>
      </c>
      <c r="E126" s="6" t="s">
        <v>38</v>
      </c>
      <c r="F126" s="6" t="s">
        <v>793</v>
      </c>
      <c r="G126" s="6" t="s">
        <v>152</v>
      </c>
      <c r="H126" s="5" t="s">
        <v>794</v>
      </c>
      <c r="I126" s="13" t="s">
        <v>78</v>
      </c>
      <c r="J126" s="6" t="s">
        <v>30</v>
      </c>
      <c r="K126" s="6" t="s">
        <v>30</v>
      </c>
      <c r="L126" s="6" t="s">
        <v>30</v>
      </c>
      <c r="M126" s="13" t="s">
        <v>154</v>
      </c>
      <c r="N126" s="7" t="s">
        <v>32</v>
      </c>
      <c r="O126" s="7" t="s">
        <v>33</v>
      </c>
      <c r="P126" s="41">
        <v>46029</v>
      </c>
      <c r="Q126" s="41">
        <v>47127</v>
      </c>
      <c r="R126" s="7" t="s">
        <v>44</v>
      </c>
      <c r="S126" s="15">
        <v>0</v>
      </c>
      <c r="T126" s="9"/>
    </row>
  </sheetData>
  <autoFilter ref="A1:T126" xr:uid="{00000000-0009-0000-0000-000001000000}"/>
  <conditionalFormatting sqref="S2:S126">
    <cfRule type="colorScale" priority="2">
      <colorScale>
        <cfvo type="num" val="0"/>
        <cfvo type="num" val="50"/>
        <cfvo type="num" val="100"/>
        <color rgb="FFF8D7DA"/>
        <color rgb="FFFFF3CD"/>
        <color rgb="FFD4EDDA"/>
      </colorScale>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rightToLeft="1" topLeftCell="A3" zoomScaleNormal="100" workbookViewId="0">
      <selection activeCell="C8" sqref="C8:C17"/>
    </sheetView>
  </sheetViews>
  <sheetFormatPr defaultColWidth="8.6640625" defaultRowHeight="14.4"/>
  <cols>
    <col min="1" max="1" width="6" customWidth="1"/>
    <col min="2" max="2" width="55" customWidth="1"/>
    <col min="3" max="3" width="18" customWidth="1"/>
    <col min="4" max="4" width="24" customWidth="1"/>
  </cols>
  <sheetData>
    <row r="1" spans="1:4" ht="30" customHeight="1"/>
    <row r="2" spans="1:4" ht="27.75" customHeight="1"/>
    <row r="3" spans="1:4" ht="43.5" customHeight="1"/>
    <row r="5" spans="1:4" ht="24" customHeight="1">
      <c r="A5" s="2" t="s">
        <v>795</v>
      </c>
      <c r="B5" s="2"/>
      <c r="C5" s="2"/>
      <c r="D5" s="2"/>
    </row>
    <row r="6" spans="1:4" ht="25.5" customHeight="1">
      <c r="A6" s="19" t="s">
        <v>796</v>
      </c>
      <c r="B6" s="20" t="s">
        <v>797</v>
      </c>
      <c r="C6" s="20" t="s">
        <v>798</v>
      </c>
      <c r="D6" s="20" t="s">
        <v>799</v>
      </c>
    </row>
    <row r="7" spans="1:4" ht="25.5" customHeight="1">
      <c r="A7" s="21">
        <v>1</v>
      </c>
      <c r="B7" s="22"/>
      <c r="C7" s="21">
        <v>43</v>
      </c>
      <c r="D7" s="23">
        <v>955810015.27999997</v>
      </c>
    </row>
    <row r="8" spans="1:4" ht="25.5" customHeight="1">
      <c r="A8" s="24">
        <v>2</v>
      </c>
      <c r="B8" s="25" t="s">
        <v>29</v>
      </c>
      <c r="C8" s="24">
        <v>32</v>
      </c>
      <c r="D8" s="26">
        <v>369695525.95999998</v>
      </c>
    </row>
    <row r="9" spans="1:4" ht="25.5" customHeight="1">
      <c r="A9" s="21">
        <v>3</v>
      </c>
      <c r="B9" s="27" t="s">
        <v>61</v>
      </c>
      <c r="C9" s="21">
        <v>14</v>
      </c>
      <c r="D9" s="23">
        <v>176131567.84999999</v>
      </c>
    </row>
    <row r="10" spans="1:4" ht="25.5" customHeight="1">
      <c r="A10" s="24">
        <v>4</v>
      </c>
      <c r="B10" s="25" t="s">
        <v>208</v>
      </c>
      <c r="C10" s="24">
        <v>11</v>
      </c>
      <c r="D10" s="26">
        <v>89991218.019999996</v>
      </c>
    </row>
    <row r="11" spans="1:4" ht="25.5" customHeight="1">
      <c r="A11" s="21">
        <v>5</v>
      </c>
      <c r="B11" s="27" t="s">
        <v>290</v>
      </c>
      <c r="C11" s="21">
        <v>10</v>
      </c>
      <c r="D11" s="23">
        <v>55411789</v>
      </c>
    </row>
    <row r="12" spans="1:4" ht="25.5" customHeight="1">
      <c r="A12" s="24">
        <v>6</v>
      </c>
      <c r="B12" s="25" t="s">
        <v>253</v>
      </c>
      <c r="C12" s="24">
        <v>5</v>
      </c>
      <c r="D12" s="26">
        <v>316212000</v>
      </c>
    </row>
    <row r="13" spans="1:4" ht="25.5" customHeight="1">
      <c r="A13" s="21">
        <v>7</v>
      </c>
      <c r="B13" s="27" t="s">
        <v>142</v>
      </c>
      <c r="C13" s="21">
        <v>3</v>
      </c>
      <c r="D13" s="23">
        <v>387062582.91000003</v>
      </c>
    </row>
    <row r="14" spans="1:4" ht="25.5" customHeight="1">
      <c r="A14" s="24">
        <v>8</v>
      </c>
      <c r="B14" s="25" t="s">
        <v>261</v>
      </c>
      <c r="C14" s="24">
        <v>3</v>
      </c>
      <c r="D14" s="26">
        <v>54500000</v>
      </c>
    </row>
    <row r="15" spans="1:4" ht="25.5" customHeight="1">
      <c r="A15" s="21">
        <v>9</v>
      </c>
      <c r="B15" s="27" t="s">
        <v>586</v>
      </c>
      <c r="C15" s="21">
        <v>2</v>
      </c>
      <c r="D15" s="23">
        <v>6000000</v>
      </c>
    </row>
    <row r="16" spans="1:4" ht="25.5" customHeight="1">
      <c r="A16" s="24">
        <v>10</v>
      </c>
      <c r="B16" s="25" t="s">
        <v>499</v>
      </c>
      <c r="C16" s="24">
        <v>1</v>
      </c>
      <c r="D16" s="26">
        <v>0</v>
      </c>
    </row>
    <row r="17" spans="1:4" ht="25.5" customHeight="1">
      <c r="A17" s="21">
        <v>11</v>
      </c>
      <c r="B17" s="27" t="s">
        <v>612</v>
      </c>
      <c r="C17" s="21">
        <v>1</v>
      </c>
      <c r="D17" s="23">
        <v>2000000</v>
      </c>
    </row>
    <row r="18" spans="1:4" ht="25.5" customHeight="1">
      <c r="A18" s="28"/>
      <c r="B18" s="29" t="s">
        <v>800</v>
      </c>
      <c r="C18" s="28">
        <f>SUM(C7:C17)</f>
        <v>125</v>
      </c>
      <c r="D18" s="30">
        <f>SUM(D7:D17)</f>
        <v>2412814699.02</v>
      </c>
    </row>
  </sheetData>
  <mergeCells count="1">
    <mergeCell ref="A5:D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rightToLeft="1" zoomScaleNormal="100" workbookViewId="0">
      <selection activeCell="C8" sqref="C8:C17"/>
    </sheetView>
  </sheetViews>
  <sheetFormatPr defaultColWidth="8.6640625" defaultRowHeight="14.4"/>
  <cols>
    <col min="1" max="1" width="6" customWidth="1"/>
    <col min="2" max="2" width="60" customWidth="1"/>
    <col min="3" max="3" width="18" customWidth="1"/>
  </cols>
  <sheetData>
    <row r="1" spans="1:3" ht="27.75" customHeight="1">
      <c r="A1" s="1" t="s">
        <v>801</v>
      </c>
      <c r="B1" s="1"/>
      <c r="C1" s="1"/>
    </row>
    <row r="2" spans="1:3" ht="25.5" customHeight="1">
      <c r="A2" s="19" t="s">
        <v>796</v>
      </c>
      <c r="B2" s="20" t="s">
        <v>802</v>
      </c>
      <c r="C2" s="20" t="s">
        <v>798</v>
      </c>
    </row>
    <row r="3" spans="1:3" ht="27.75" customHeight="1">
      <c r="A3" s="31">
        <v>1</v>
      </c>
      <c r="B3" s="27" t="s">
        <v>803</v>
      </c>
      <c r="C3" s="21">
        <f>SUMPRODUCT(--ISNUMBER(SEARCH("1. ",'مصفوفة الربط'!C2:C126)))</f>
        <v>42</v>
      </c>
    </row>
    <row r="4" spans="1:3" ht="27.75" customHeight="1">
      <c r="A4" s="32">
        <v>2</v>
      </c>
      <c r="B4" s="25" t="s">
        <v>804</v>
      </c>
      <c r="C4" s="24">
        <f>SUMPRODUCT(--ISNUMBER(SEARCH("2. ",'مصفوفة الربط'!C2:C126)))</f>
        <v>82</v>
      </c>
    </row>
    <row r="5" spans="1:3" ht="27.75" customHeight="1">
      <c r="A5" s="31">
        <v>3</v>
      </c>
      <c r="B5" s="27" t="s">
        <v>805</v>
      </c>
      <c r="C5" s="21">
        <f>SUMPRODUCT(--ISNUMBER(SEARCH("3. ",'مصفوفة الربط'!C2:C126)))</f>
        <v>81</v>
      </c>
    </row>
    <row r="6" spans="1:3" ht="27.75" customHeight="1">
      <c r="A6" s="32">
        <v>4</v>
      </c>
      <c r="B6" s="25" t="s">
        <v>806</v>
      </c>
      <c r="C6" s="24">
        <f>SUMPRODUCT(--ISNUMBER(SEARCH("4. ",'مصفوفة الربط'!C2:C126)))</f>
        <v>53</v>
      </c>
    </row>
    <row r="7" spans="1:3" ht="27.75" customHeight="1">
      <c r="A7" s="31">
        <v>5</v>
      </c>
      <c r="B7" s="27" t="s">
        <v>807</v>
      </c>
      <c r="C7" s="21">
        <f>SUMPRODUCT(--ISNUMBER(SEARCH("5. ",'مصفوفة الربط'!C2:C126)))</f>
        <v>37</v>
      </c>
    </row>
    <row r="8" spans="1:3" ht="27.75" customHeight="1">
      <c r="A8" s="32">
        <v>6</v>
      </c>
      <c r="B8" s="25" t="s">
        <v>808</v>
      </c>
      <c r="C8" s="24">
        <f>SUMPRODUCT(--ISNUMBER(SEARCH("6. ",'مصفوفة الربط'!C2:C126)))</f>
        <v>24</v>
      </c>
    </row>
    <row r="10" spans="1:3" ht="27.75" customHeight="1">
      <c r="A10" s="1" t="s">
        <v>809</v>
      </c>
      <c r="B10" s="1"/>
      <c r="C10" s="1"/>
    </row>
    <row r="11" spans="1:3" ht="25.5" customHeight="1">
      <c r="A11" s="19" t="s">
        <v>796</v>
      </c>
      <c r="B11" s="20" t="s">
        <v>802</v>
      </c>
      <c r="C11" s="20" t="s">
        <v>798</v>
      </c>
    </row>
    <row r="12" spans="1:3" ht="31.5" customHeight="1">
      <c r="A12" s="31">
        <v>1</v>
      </c>
      <c r="B12" s="27" t="s">
        <v>810</v>
      </c>
      <c r="C12" s="21">
        <f>SUMPRODUCT(--ISNUMBER(SEARCH("1. ",'مصفوفة الربط'!D2:D126)))</f>
        <v>52</v>
      </c>
    </row>
    <row r="13" spans="1:3" ht="31.5" customHeight="1">
      <c r="A13" s="32">
        <v>2</v>
      </c>
      <c r="B13" s="25" t="s">
        <v>811</v>
      </c>
      <c r="C13" s="24">
        <f>SUMPRODUCT(--ISNUMBER(SEARCH("2. ",'مصفوفة الربط'!D2:D126)))</f>
        <v>28</v>
      </c>
    </row>
    <row r="14" spans="1:3" ht="31.5" customHeight="1">
      <c r="A14" s="31">
        <v>3</v>
      </c>
      <c r="B14" s="27" t="s">
        <v>812</v>
      </c>
      <c r="C14" s="21">
        <f>SUMPRODUCT(--ISNUMBER(SEARCH("3. ",'مصفوفة الربط'!D2:D126)))</f>
        <v>52</v>
      </c>
    </row>
    <row r="15" spans="1:3" ht="31.5" customHeight="1">
      <c r="A15" s="32">
        <v>4</v>
      </c>
      <c r="B15" s="25" t="s">
        <v>813</v>
      </c>
      <c r="C15" s="24">
        <f>SUMPRODUCT(--ISNUMBER(SEARCH("4. ",'مصفوفة الربط'!D2:D126)))</f>
        <v>20</v>
      </c>
    </row>
    <row r="16" spans="1:3" ht="31.5" customHeight="1">
      <c r="A16" s="31">
        <v>5</v>
      </c>
      <c r="B16" s="27" t="s">
        <v>814</v>
      </c>
      <c r="C16" s="21">
        <f>SUMPRODUCT(--ISNUMBER(SEARCH("5. ",'مصفوفة الربط'!D2:D126)))</f>
        <v>83</v>
      </c>
    </row>
    <row r="17" spans="1:3" ht="31.5" customHeight="1">
      <c r="A17" s="32">
        <v>6</v>
      </c>
      <c r="B17" s="25" t="s">
        <v>815</v>
      </c>
      <c r="C17" s="24">
        <f>SUMPRODUCT(--ISNUMBER(SEARCH("6. ",'مصفوفة الربط'!D2:D126)))</f>
        <v>56</v>
      </c>
    </row>
    <row r="20" spans="1:3" ht="27.75" customHeight="1">
      <c r="A20" s="1" t="s">
        <v>816</v>
      </c>
      <c r="B20" s="1"/>
      <c r="C20" s="1"/>
    </row>
    <row r="21" spans="1:3" ht="25.5" customHeight="1">
      <c r="A21" s="19" t="s">
        <v>796</v>
      </c>
      <c r="B21" s="20" t="s">
        <v>817</v>
      </c>
      <c r="C21" s="20" t="s">
        <v>798</v>
      </c>
    </row>
    <row r="22" spans="1:3" ht="33.75" customHeight="1">
      <c r="A22" s="31">
        <v>1</v>
      </c>
      <c r="B22" s="27" t="s">
        <v>818</v>
      </c>
      <c r="C22" s="21">
        <f>SUMPRODUCT(--ISNUMBER(SEARCH("1. ",'مصفوفة الربط'!E2:E126)))</f>
        <v>16</v>
      </c>
    </row>
    <row r="23" spans="1:3" ht="33.75" customHeight="1">
      <c r="A23" s="32">
        <v>2</v>
      </c>
      <c r="B23" s="25" t="s">
        <v>819</v>
      </c>
      <c r="C23" s="24">
        <f>SUMPRODUCT(--ISNUMBER(SEARCH("2. ",'مصفوفة الربط'!E2:E126)))</f>
        <v>21</v>
      </c>
    </row>
    <row r="24" spans="1:3" ht="33.75" customHeight="1">
      <c r="A24" s="31">
        <v>3</v>
      </c>
      <c r="B24" s="27" t="s">
        <v>820</v>
      </c>
      <c r="C24" s="21">
        <f>SUMPRODUCT(--ISNUMBER(SEARCH("3. ",'مصفوفة الربط'!E2:E126)))</f>
        <v>35</v>
      </c>
    </row>
    <row r="25" spans="1:3" ht="33.75" customHeight="1">
      <c r="A25" s="32">
        <v>4</v>
      </c>
      <c r="B25" s="25" t="s">
        <v>821</v>
      </c>
      <c r="C25" s="24">
        <f>SUMPRODUCT(--ISNUMBER(SEARCH("4. ",'مصفوفة الربط'!E2:E126)))</f>
        <v>33</v>
      </c>
    </row>
    <row r="26" spans="1:3" ht="33.75" customHeight="1">
      <c r="A26" s="31">
        <v>5</v>
      </c>
      <c r="B26" s="27" t="s">
        <v>822</v>
      </c>
      <c r="C26" s="21">
        <f>SUMPRODUCT(--ISNUMBER(SEARCH("5. ",'مصفوفة الربط'!E2:E126)))</f>
        <v>15</v>
      </c>
    </row>
    <row r="27" spans="1:3" ht="33.75" customHeight="1">
      <c r="A27" s="32">
        <v>6</v>
      </c>
      <c r="B27" s="25" t="s">
        <v>823</v>
      </c>
      <c r="C27" s="24">
        <f>SUMPRODUCT(--ISNUMBER(SEARCH("6. ",'مصفوفة الربط'!E2:E126)))</f>
        <v>11</v>
      </c>
    </row>
  </sheetData>
  <mergeCells count="3">
    <mergeCell ref="A1:C1"/>
    <mergeCell ref="A10:C10"/>
    <mergeCell ref="A20:C2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8"/>
  <sheetViews>
    <sheetView rightToLeft="1" zoomScaleNormal="100" workbookViewId="0">
      <pane ySplit="2" topLeftCell="A39" activePane="bottomLeft" state="frozen"/>
      <selection activeCell="C8" sqref="C8:C17"/>
      <selection pane="bottomLeft" activeCell="C8" sqref="C8:C17"/>
    </sheetView>
  </sheetViews>
  <sheetFormatPr defaultColWidth="8.6640625" defaultRowHeight="14.4"/>
  <cols>
    <col min="1" max="1" width="10" customWidth="1"/>
    <col min="2" max="2" width="14" customWidth="1"/>
    <col min="3" max="3" width="70" customWidth="1"/>
    <col min="4" max="4" width="18" customWidth="1"/>
  </cols>
  <sheetData>
    <row r="1" spans="1:4" ht="27.75" customHeight="1">
      <c r="A1" s="1" t="s">
        <v>1113</v>
      </c>
      <c r="B1" s="1"/>
      <c r="C1" s="1"/>
      <c r="D1" s="1"/>
    </row>
    <row r="2" spans="1:4" ht="27.75" customHeight="1">
      <c r="A2" s="20" t="s">
        <v>824</v>
      </c>
      <c r="B2" s="20" t="s">
        <v>825</v>
      </c>
      <c r="C2" s="20" t="s">
        <v>826</v>
      </c>
      <c r="D2" s="20" t="s">
        <v>798</v>
      </c>
    </row>
    <row r="3" spans="1:4" ht="36" customHeight="1">
      <c r="A3" s="31" t="s">
        <v>827</v>
      </c>
      <c r="B3" s="33" t="s">
        <v>828</v>
      </c>
      <c r="C3" s="27" t="s">
        <v>829</v>
      </c>
      <c r="D3" s="21">
        <f>COUNTIF('مصفوفة الربط'!G2:G126,"*AR01*")</f>
        <v>2</v>
      </c>
    </row>
    <row r="4" spans="1:4" ht="36" customHeight="1">
      <c r="A4" s="32" t="s">
        <v>830</v>
      </c>
      <c r="B4" s="33" t="s">
        <v>828</v>
      </c>
      <c r="C4" s="25" t="s">
        <v>831</v>
      </c>
      <c r="D4" s="24">
        <f>COUNTIF('مصفوفة الربط'!G2:G126,"*AR02*")</f>
        <v>11</v>
      </c>
    </row>
    <row r="5" spans="1:4" ht="36" customHeight="1">
      <c r="A5" s="31" t="s">
        <v>832</v>
      </c>
      <c r="B5" s="33" t="s">
        <v>828</v>
      </c>
      <c r="C5" s="27" t="s">
        <v>833</v>
      </c>
      <c r="D5" s="21">
        <f>COUNTIF('مصفوفة الربط'!G2:G126,"*AR03*")</f>
        <v>2</v>
      </c>
    </row>
    <row r="6" spans="1:4" ht="36" customHeight="1">
      <c r="A6" s="32" t="s">
        <v>834</v>
      </c>
      <c r="B6" s="33" t="s">
        <v>828</v>
      </c>
      <c r="C6" s="25" t="s">
        <v>835</v>
      </c>
      <c r="D6" s="24">
        <f>COUNTIF('مصفوفة الربط'!G2:G126,"*AR04*")</f>
        <v>2</v>
      </c>
    </row>
    <row r="7" spans="1:4" ht="36" customHeight="1">
      <c r="A7" s="31" t="s">
        <v>836</v>
      </c>
      <c r="B7" s="33" t="s">
        <v>828</v>
      </c>
      <c r="C7" s="27" t="s">
        <v>837</v>
      </c>
      <c r="D7" s="21">
        <f>COUNTIF('مصفوفة الربط'!G2:G126,"*AR05*")</f>
        <v>9</v>
      </c>
    </row>
    <row r="8" spans="1:4" ht="36" customHeight="1">
      <c r="A8" s="32" t="s">
        <v>838</v>
      </c>
      <c r="B8" s="33" t="s">
        <v>828</v>
      </c>
      <c r="C8" s="25" t="s">
        <v>839</v>
      </c>
      <c r="D8" s="24">
        <f>COUNTIF('مصفوفة الربط'!G2:G126,"*AR06*")</f>
        <v>4</v>
      </c>
    </row>
    <row r="9" spans="1:4" ht="36" customHeight="1">
      <c r="A9" s="31" t="s">
        <v>840</v>
      </c>
      <c r="B9" s="33" t="s">
        <v>828</v>
      </c>
      <c r="C9" s="27" t="s">
        <v>841</v>
      </c>
      <c r="D9" s="21">
        <f>COUNTIF('مصفوفة الربط'!G2:G126,"*AR07*")</f>
        <v>32</v>
      </c>
    </row>
    <row r="10" spans="1:4" ht="36" customHeight="1">
      <c r="A10" s="32" t="s">
        <v>842</v>
      </c>
      <c r="B10" s="33" t="s">
        <v>828</v>
      </c>
      <c r="C10" s="25" t="s">
        <v>843</v>
      </c>
      <c r="D10" s="24">
        <f>COUNTIF('مصفوفة الربط'!G2:G126,"*AR08*")</f>
        <v>9</v>
      </c>
    </row>
    <row r="11" spans="1:4" ht="36" customHeight="1">
      <c r="A11" s="31" t="s">
        <v>844</v>
      </c>
      <c r="B11" s="33" t="s">
        <v>828</v>
      </c>
      <c r="C11" s="27" t="s">
        <v>845</v>
      </c>
      <c r="D11" s="21">
        <f>COUNTIF('مصفوفة الربط'!G2:G126,"*AR09*")</f>
        <v>7</v>
      </c>
    </row>
    <row r="12" spans="1:4" ht="36" customHeight="1">
      <c r="A12" s="32" t="s">
        <v>846</v>
      </c>
      <c r="B12" s="33" t="s">
        <v>828</v>
      </c>
      <c r="C12" s="25" t="s">
        <v>847</v>
      </c>
      <c r="D12" s="24">
        <f>COUNTIF('مصفوفة الربط'!G2:G126,"*AR10*")</f>
        <v>2</v>
      </c>
    </row>
    <row r="13" spans="1:4" ht="36" customHeight="1">
      <c r="A13" s="31" t="s">
        <v>848</v>
      </c>
      <c r="B13" s="33" t="s">
        <v>828</v>
      </c>
      <c r="C13" s="27" t="s">
        <v>849</v>
      </c>
      <c r="D13" s="21">
        <f>COUNTIF('مصفوفة الربط'!G2:G126,"*AR11*")</f>
        <v>1</v>
      </c>
    </row>
    <row r="14" spans="1:4" ht="36" customHeight="1">
      <c r="A14" s="32" t="s">
        <v>850</v>
      </c>
      <c r="B14" s="33" t="s">
        <v>828</v>
      </c>
      <c r="C14" s="25" t="s">
        <v>851</v>
      </c>
      <c r="D14" s="24">
        <f>COUNTIF('مصفوفة الربط'!G2:G126,"*AR12*")</f>
        <v>2</v>
      </c>
    </row>
    <row r="15" spans="1:4" ht="36" customHeight="1">
      <c r="A15" s="31" t="s">
        <v>852</v>
      </c>
      <c r="B15" s="33" t="s">
        <v>828</v>
      </c>
      <c r="C15" s="27" t="s">
        <v>853</v>
      </c>
      <c r="D15" s="21">
        <f>COUNTIF('مصفوفة الربط'!G2:G126,"*AR13*")</f>
        <v>1</v>
      </c>
    </row>
    <row r="16" spans="1:4" ht="36" customHeight="1">
      <c r="A16" s="32" t="s">
        <v>854</v>
      </c>
      <c r="B16" s="33" t="s">
        <v>828</v>
      </c>
      <c r="C16" s="25" t="s">
        <v>855</v>
      </c>
      <c r="D16" s="24">
        <f>COUNTIF('مصفوفة الربط'!G2:G126,"*AR14*")</f>
        <v>2</v>
      </c>
    </row>
    <row r="17" spans="1:4" ht="36" customHeight="1">
      <c r="A17" s="31" t="s">
        <v>856</v>
      </c>
      <c r="B17" s="33" t="s">
        <v>828</v>
      </c>
      <c r="C17" s="27" t="s">
        <v>857</v>
      </c>
      <c r="D17" s="21">
        <f>COUNTIF('مصفوفة الربط'!G2:G126,"*AR15*")</f>
        <v>2</v>
      </c>
    </row>
    <row r="18" spans="1:4" ht="36" customHeight="1">
      <c r="A18" s="32" t="s">
        <v>858</v>
      </c>
      <c r="B18" s="33" t="s">
        <v>828</v>
      </c>
      <c r="C18" s="25" t="s">
        <v>859</v>
      </c>
      <c r="D18" s="24">
        <f>COUNTIF('مصفوفة الربط'!G2:G126,"*AR16*")</f>
        <v>3</v>
      </c>
    </row>
    <row r="19" spans="1:4" ht="36" customHeight="1">
      <c r="A19" s="31" t="s">
        <v>860</v>
      </c>
      <c r="B19" s="33" t="s">
        <v>828</v>
      </c>
      <c r="C19" s="27" t="s">
        <v>861</v>
      </c>
      <c r="D19" s="21">
        <f>COUNTIF('مصفوفة الربط'!G2:G126,"*AR17*")</f>
        <v>9</v>
      </c>
    </row>
    <row r="20" spans="1:4" ht="36" customHeight="1">
      <c r="A20" s="32" t="s">
        <v>862</v>
      </c>
      <c r="B20" s="33" t="s">
        <v>828</v>
      </c>
      <c r="C20" s="25" t="s">
        <v>863</v>
      </c>
      <c r="D20" s="24">
        <f>COUNTIF('مصفوفة الربط'!G2:G126,"*AR18*")</f>
        <v>39</v>
      </c>
    </row>
    <row r="21" spans="1:4" ht="36" customHeight="1">
      <c r="A21" s="31" t="s">
        <v>864</v>
      </c>
      <c r="B21" s="33" t="s">
        <v>828</v>
      </c>
      <c r="C21" s="27" t="s">
        <v>865</v>
      </c>
      <c r="D21" s="21">
        <f>COUNTIF('مصفوفة الربط'!G2:G126,"*AR19*")</f>
        <v>5</v>
      </c>
    </row>
    <row r="22" spans="1:4" ht="36" customHeight="1">
      <c r="A22" s="32" t="s">
        <v>866</v>
      </c>
      <c r="B22" s="33" t="s">
        <v>828</v>
      </c>
      <c r="C22" s="25" t="s">
        <v>867</v>
      </c>
      <c r="D22" s="24">
        <f>COUNTIF('مصفوفة الربط'!G2:G126,"*AR20*")</f>
        <v>1</v>
      </c>
    </row>
    <row r="23" spans="1:4" ht="36" customHeight="1">
      <c r="A23" s="31" t="s">
        <v>868</v>
      </c>
      <c r="B23" s="34" t="s">
        <v>869</v>
      </c>
      <c r="C23" s="27" t="s">
        <v>870</v>
      </c>
      <c r="D23" s="21">
        <f>COUNTIF('مصفوفة الربط'!G2:G126,"*BR01*")</f>
        <v>32</v>
      </c>
    </row>
    <row r="24" spans="1:4" ht="36" customHeight="1">
      <c r="A24" s="32" t="s">
        <v>871</v>
      </c>
      <c r="B24" s="34" t="s">
        <v>869</v>
      </c>
      <c r="C24" s="25" t="s">
        <v>872</v>
      </c>
      <c r="D24" s="24">
        <f>COUNTIF('مصفوفة الربط'!G2:G126,"*BR02*")</f>
        <v>48</v>
      </c>
    </row>
    <row r="25" spans="1:4" ht="36" customHeight="1">
      <c r="A25" s="31" t="s">
        <v>873</v>
      </c>
      <c r="B25" s="34" t="s">
        <v>869</v>
      </c>
      <c r="C25" s="27" t="s">
        <v>874</v>
      </c>
      <c r="D25" s="21">
        <f>COUNTIF('مصفوفة الربط'!G2:G126,"*BR03*")</f>
        <v>5</v>
      </c>
    </row>
    <row r="26" spans="1:4" ht="36" customHeight="1">
      <c r="A26" s="32" t="s">
        <v>875</v>
      </c>
      <c r="B26" s="34" t="s">
        <v>869</v>
      </c>
      <c r="C26" s="25" t="s">
        <v>876</v>
      </c>
      <c r="D26" s="24">
        <f>COUNTIF('مصفوفة الربط'!G2:G126,"*BR04*")</f>
        <v>12</v>
      </c>
    </row>
    <row r="27" spans="1:4" ht="36" customHeight="1">
      <c r="A27" s="31" t="s">
        <v>877</v>
      </c>
      <c r="B27" s="34" t="s">
        <v>869</v>
      </c>
      <c r="C27" s="27" t="s">
        <v>878</v>
      </c>
      <c r="D27" s="21">
        <f>COUNTIF('مصفوفة الربط'!G2:G126,"*BR05*")</f>
        <v>3</v>
      </c>
    </row>
    <row r="28" spans="1:4" ht="36" customHeight="1">
      <c r="A28" s="32" t="s">
        <v>879</v>
      </c>
      <c r="B28" s="34" t="s">
        <v>869</v>
      </c>
      <c r="C28" s="25" t="s">
        <v>880</v>
      </c>
      <c r="D28" s="24">
        <f>COUNTIF('مصفوفة الربط'!G2:G126,"*BR06*")</f>
        <v>29</v>
      </c>
    </row>
    <row r="29" spans="1:4" ht="36" customHeight="1">
      <c r="A29" s="31" t="s">
        <v>881</v>
      </c>
      <c r="B29" s="34" t="s">
        <v>869</v>
      </c>
      <c r="C29" s="27" t="s">
        <v>882</v>
      </c>
      <c r="D29" s="21">
        <f>COUNTIF('مصفوفة الربط'!G2:G126,"*BR07*")</f>
        <v>6</v>
      </c>
    </row>
    <row r="30" spans="1:4" ht="36" customHeight="1">
      <c r="A30" s="32" t="s">
        <v>883</v>
      </c>
      <c r="B30" s="34" t="s">
        <v>869</v>
      </c>
      <c r="C30" s="25" t="s">
        <v>884</v>
      </c>
      <c r="D30" s="24">
        <f>COUNTIF('مصفوفة الربط'!G2:G126,"*BR08*")</f>
        <v>2</v>
      </c>
    </row>
    <row r="31" spans="1:4" ht="36" customHeight="1">
      <c r="A31" s="31" t="s">
        <v>885</v>
      </c>
      <c r="B31" s="34" t="s">
        <v>869</v>
      </c>
      <c r="C31" s="27" t="s">
        <v>886</v>
      </c>
      <c r="D31" s="21">
        <f>COUNTIF('مصفوفة الربط'!G2:G126,"*BR09*")</f>
        <v>1</v>
      </c>
    </row>
    <row r="32" spans="1:4" ht="36" customHeight="1">
      <c r="A32" s="32" t="s">
        <v>887</v>
      </c>
      <c r="B32" s="34" t="s">
        <v>869</v>
      </c>
      <c r="C32" s="25" t="s">
        <v>888</v>
      </c>
      <c r="D32" s="24">
        <f>COUNTIF('مصفوفة الربط'!G2:G126,"*BR10*")</f>
        <v>10</v>
      </c>
    </row>
    <row r="33" spans="1:4" ht="36" customHeight="1">
      <c r="A33" s="31" t="s">
        <v>889</v>
      </c>
      <c r="B33" s="34" t="s">
        <v>869</v>
      </c>
      <c r="C33" s="27" t="s">
        <v>890</v>
      </c>
      <c r="D33" s="21">
        <f>COUNTIF('مصفوفة الربط'!G2:G126,"*BR11*")</f>
        <v>2</v>
      </c>
    </row>
    <row r="34" spans="1:4" ht="36" customHeight="1">
      <c r="A34" s="32" t="s">
        <v>891</v>
      </c>
      <c r="B34" s="34" t="s">
        <v>869</v>
      </c>
      <c r="C34" s="25" t="s">
        <v>892</v>
      </c>
      <c r="D34" s="24">
        <f>COUNTIF('مصفوفة الربط'!G2:G126,"*BR12*")</f>
        <v>1</v>
      </c>
    </row>
    <row r="35" spans="1:4" ht="36" customHeight="1">
      <c r="A35" s="31" t="s">
        <v>893</v>
      </c>
      <c r="B35" s="34" t="s">
        <v>869</v>
      </c>
      <c r="C35" s="27" t="s">
        <v>894</v>
      </c>
      <c r="D35" s="21">
        <f>COUNTIF('مصفوفة الربط'!G2:G126,"*BR13*")</f>
        <v>1</v>
      </c>
    </row>
    <row r="36" spans="1:4" ht="36" customHeight="1">
      <c r="A36" s="32" t="s">
        <v>895</v>
      </c>
      <c r="B36" s="34" t="s">
        <v>869</v>
      </c>
      <c r="C36" s="25" t="s">
        <v>896</v>
      </c>
      <c r="D36" s="24">
        <f>COUNTIF('مصفوفة الربط'!G2:G126,"*BR14*")</f>
        <v>2</v>
      </c>
    </row>
    <row r="37" spans="1:4" ht="36" customHeight="1">
      <c r="A37" s="31" t="s">
        <v>897</v>
      </c>
      <c r="B37" s="34" t="s">
        <v>869</v>
      </c>
      <c r="C37" s="27" t="s">
        <v>898</v>
      </c>
      <c r="D37" s="21">
        <f>COUNTIF('مصفوفة الربط'!G2:G126,"*BR15*")</f>
        <v>2</v>
      </c>
    </row>
    <row r="38" spans="1:4" ht="36" customHeight="1">
      <c r="A38" s="32" t="s">
        <v>899</v>
      </c>
      <c r="B38" s="34" t="s">
        <v>869</v>
      </c>
      <c r="C38" s="25" t="s">
        <v>900</v>
      </c>
      <c r="D38" s="24">
        <f>COUNTIF('مصفوفة الربط'!G2:G126,"*BR16*")</f>
        <v>2</v>
      </c>
    </row>
    <row r="39" spans="1:4" ht="36" customHeight="1">
      <c r="A39" s="31" t="s">
        <v>901</v>
      </c>
      <c r="B39" s="34" t="s">
        <v>869</v>
      </c>
      <c r="C39" s="27" t="s">
        <v>902</v>
      </c>
      <c r="D39" s="21">
        <f>COUNTIF('مصفوفة الربط'!G2:G126,"*BR17*")</f>
        <v>2</v>
      </c>
    </row>
    <row r="40" spans="1:4" ht="36" customHeight="1">
      <c r="A40" s="32" t="s">
        <v>903</v>
      </c>
      <c r="B40" s="34" t="s">
        <v>869</v>
      </c>
      <c r="C40" s="25" t="s">
        <v>904</v>
      </c>
      <c r="D40" s="24">
        <f>COUNTIF('مصفوفة الربط'!G2:G126,"*BR18*")</f>
        <v>10</v>
      </c>
    </row>
    <row r="41" spans="1:4" ht="36" customHeight="1">
      <c r="A41" s="31" t="s">
        <v>905</v>
      </c>
      <c r="B41" s="34" t="s">
        <v>869</v>
      </c>
      <c r="C41" s="27" t="s">
        <v>906</v>
      </c>
      <c r="D41" s="21">
        <f>COUNTIF('مصفوفة الربط'!G2:G126,"*BR19*")</f>
        <v>6</v>
      </c>
    </row>
    <row r="42" spans="1:4" ht="36" customHeight="1">
      <c r="A42" s="32" t="s">
        <v>907</v>
      </c>
      <c r="B42" s="34" t="s">
        <v>869</v>
      </c>
      <c r="C42" s="25" t="s">
        <v>908</v>
      </c>
      <c r="D42" s="24">
        <f>COUNTIF('مصفوفة الربط'!G2:G126,"*BR20*")</f>
        <v>2</v>
      </c>
    </row>
    <row r="43" spans="1:4" ht="36" customHeight="1">
      <c r="A43" s="31" t="s">
        <v>909</v>
      </c>
      <c r="B43" s="35" t="s">
        <v>910</v>
      </c>
      <c r="C43" s="27" t="s">
        <v>911</v>
      </c>
      <c r="D43" s="21">
        <f>COUNTIF('مصفوفة الربط'!G2:G126,"*DR01*")</f>
        <v>18</v>
      </c>
    </row>
    <row r="44" spans="1:4" ht="36" customHeight="1">
      <c r="A44" s="32" t="s">
        <v>912</v>
      </c>
      <c r="B44" s="35" t="s">
        <v>910</v>
      </c>
      <c r="C44" s="25" t="s">
        <v>913</v>
      </c>
      <c r="D44" s="24">
        <f>COUNTIF('مصفوفة الربط'!G2:G126,"*DR02*")</f>
        <v>2</v>
      </c>
    </row>
    <row r="45" spans="1:4" ht="36" customHeight="1">
      <c r="A45" s="31" t="s">
        <v>914</v>
      </c>
      <c r="B45" s="36" t="s">
        <v>915</v>
      </c>
      <c r="C45" s="27" t="s">
        <v>916</v>
      </c>
      <c r="D45" s="21">
        <f>COUNTIF('مصفوفة الربط'!G2:G126,"*TR01*")</f>
        <v>15</v>
      </c>
    </row>
    <row r="46" spans="1:4" ht="36" customHeight="1">
      <c r="A46" s="32" t="s">
        <v>917</v>
      </c>
      <c r="B46" s="36" t="s">
        <v>915</v>
      </c>
      <c r="C46" s="25" t="s">
        <v>918</v>
      </c>
      <c r="D46" s="24">
        <f>COUNTIF('مصفوفة الربط'!G2:G126,"*TR02*")</f>
        <v>4</v>
      </c>
    </row>
    <row r="47" spans="1:4" ht="36" customHeight="1">
      <c r="A47" s="31" t="s">
        <v>919</v>
      </c>
      <c r="B47" s="36" t="s">
        <v>915</v>
      </c>
      <c r="C47" s="27" t="s">
        <v>920</v>
      </c>
      <c r="D47" s="21">
        <f>COUNTIF('مصفوفة الربط'!G2:G126,"*TR03*")</f>
        <v>45</v>
      </c>
    </row>
    <row r="48" spans="1:4" ht="36" customHeight="1">
      <c r="A48" s="32" t="s">
        <v>921</v>
      </c>
      <c r="B48" s="36" t="s">
        <v>915</v>
      </c>
      <c r="C48" s="25" t="s">
        <v>922</v>
      </c>
      <c r="D48" s="24">
        <f>COUNTIF('مصفوفة الربط'!G2:G126,"*TR04*")</f>
        <v>10</v>
      </c>
    </row>
  </sheetData>
  <mergeCells count="1">
    <mergeCell ref="A1:D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4"/>
  <sheetViews>
    <sheetView rightToLeft="1" zoomScaleNormal="100" workbookViewId="0">
      <pane ySplit="2" topLeftCell="A3" activePane="bottomLeft" state="frozen"/>
      <selection activeCell="C8" sqref="C8:C17"/>
      <selection pane="bottomLeft" activeCell="C8" sqref="C8:C17"/>
    </sheetView>
  </sheetViews>
  <sheetFormatPr defaultColWidth="8.6640625" defaultRowHeight="14.4"/>
  <cols>
    <col min="1" max="1" width="12" customWidth="1"/>
    <col min="2" max="2" width="30" customWidth="1"/>
    <col min="3" max="3" width="65" customWidth="1"/>
    <col min="4" max="4" width="18" customWidth="1"/>
  </cols>
  <sheetData>
    <row r="1" spans="1:4" ht="27.75" customHeight="1">
      <c r="A1" s="1" t="s">
        <v>1114</v>
      </c>
      <c r="B1" s="1"/>
      <c r="C1" s="1"/>
      <c r="D1" s="1"/>
    </row>
    <row r="2" spans="1:4" ht="27.75" customHeight="1">
      <c r="A2" s="20" t="s">
        <v>824</v>
      </c>
      <c r="B2" s="20" t="s">
        <v>923</v>
      </c>
      <c r="C2" s="20" t="s">
        <v>826</v>
      </c>
      <c r="D2" s="20" t="s">
        <v>798</v>
      </c>
    </row>
    <row r="3" spans="1:4" ht="36" customHeight="1">
      <c r="A3" s="31" t="s">
        <v>924</v>
      </c>
      <c r="B3" s="37" t="s">
        <v>925</v>
      </c>
      <c r="C3" s="27" t="s">
        <v>926</v>
      </c>
      <c r="D3" s="21">
        <f>COUNTIF('مصفوفة الربط'!F2:F126,"*GAP-A-01*")</f>
        <v>27</v>
      </c>
    </row>
    <row r="4" spans="1:4" ht="36" customHeight="1">
      <c r="A4" s="32" t="s">
        <v>927</v>
      </c>
      <c r="B4" s="37" t="s">
        <v>925</v>
      </c>
      <c r="C4" s="25" t="s">
        <v>928</v>
      </c>
      <c r="D4" s="24">
        <f>COUNTIF('مصفوفة الربط'!F2:F126,"*GAP-A-02*")</f>
        <v>9</v>
      </c>
    </row>
    <row r="5" spans="1:4" ht="36" customHeight="1">
      <c r="A5" s="31" t="s">
        <v>929</v>
      </c>
      <c r="B5" s="37" t="s">
        <v>925</v>
      </c>
      <c r="C5" s="27" t="s">
        <v>930</v>
      </c>
      <c r="D5" s="21">
        <f>COUNTIF('مصفوفة الربط'!F2:F126,"*GAP-A-03*")</f>
        <v>11</v>
      </c>
    </row>
    <row r="6" spans="1:4" ht="36" customHeight="1">
      <c r="A6" s="32" t="s">
        <v>931</v>
      </c>
      <c r="B6" s="37" t="s">
        <v>925</v>
      </c>
      <c r="C6" s="25" t="s">
        <v>932</v>
      </c>
      <c r="D6" s="24">
        <f>COUNTIF('مصفوفة الربط'!F2:F126,"*GAP-A-04*")</f>
        <v>4</v>
      </c>
    </row>
    <row r="7" spans="1:4" ht="36" customHeight="1">
      <c r="A7" s="31" t="s">
        <v>933</v>
      </c>
      <c r="B7" s="37" t="s">
        <v>925</v>
      </c>
      <c r="C7" s="27" t="s">
        <v>934</v>
      </c>
      <c r="D7" s="21">
        <f>COUNTIF('مصفوفة الربط'!F2:F126,"*GAP-A-05*")</f>
        <v>7</v>
      </c>
    </row>
    <row r="8" spans="1:4" ht="36" customHeight="1">
      <c r="A8" s="32" t="s">
        <v>935</v>
      </c>
      <c r="B8" s="37" t="s">
        <v>925</v>
      </c>
      <c r="C8" s="25" t="s">
        <v>936</v>
      </c>
      <c r="D8" s="24">
        <f>COUNTIF('مصفوفة الربط'!F2:F126,"*GAP-A-06*")</f>
        <v>19</v>
      </c>
    </row>
    <row r="9" spans="1:4" ht="36" customHeight="1">
      <c r="A9" s="31" t="s">
        <v>937</v>
      </c>
      <c r="B9" s="37" t="s">
        <v>925</v>
      </c>
      <c r="C9" s="27" t="s">
        <v>938</v>
      </c>
      <c r="D9" s="21">
        <f>COUNTIF('مصفوفة الربط'!F2:F126,"*GAP-A-07*")</f>
        <v>10</v>
      </c>
    </row>
    <row r="10" spans="1:4" ht="36" customHeight="1">
      <c r="A10" s="32" t="s">
        <v>939</v>
      </c>
      <c r="B10" s="37" t="s">
        <v>925</v>
      </c>
      <c r="C10" s="25" t="s">
        <v>940</v>
      </c>
      <c r="D10" s="24">
        <f>COUNTIF('مصفوفة الربط'!F2:F126,"*GAP-A-08*")</f>
        <v>8</v>
      </c>
    </row>
    <row r="11" spans="1:4" ht="36" customHeight="1">
      <c r="A11" s="31" t="s">
        <v>941</v>
      </c>
      <c r="B11" s="37" t="s">
        <v>925</v>
      </c>
      <c r="C11" s="27" t="s">
        <v>942</v>
      </c>
      <c r="D11" s="21">
        <f>COUNTIF('مصفوفة الربط'!F2:F126,"*GAP-A-09*")</f>
        <v>25</v>
      </c>
    </row>
    <row r="12" spans="1:4" ht="36" customHeight="1">
      <c r="A12" s="32" t="s">
        <v>943</v>
      </c>
      <c r="B12" s="37" t="s">
        <v>925</v>
      </c>
      <c r="C12" s="25" t="s">
        <v>944</v>
      </c>
      <c r="D12" s="24">
        <f>COUNTIF('مصفوفة الربط'!F2:F126,"*GAP-A-10*")</f>
        <v>9</v>
      </c>
    </row>
    <row r="13" spans="1:4" ht="36" customHeight="1">
      <c r="A13" s="31" t="s">
        <v>945</v>
      </c>
      <c r="B13" s="38" t="s">
        <v>946</v>
      </c>
      <c r="C13" s="27" t="s">
        <v>947</v>
      </c>
      <c r="D13" s="21">
        <f>COUNTIF('مصفوفة الربط'!F2:F126,"*GAP-B-01*")</f>
        <v>69</v>
      </c>
    </row>
    <row r="14" spans="1:4" ht="36" customHeight="1">
      <c r="A14" s="32" t="s">
        <v>948</v>
      </c>
      <c r="B14" s="38" t="s">
        <v>946</v>
      </c>
      <c r="C14" s="25" t="s">
        <v>949</v>
      </c>
      <c r="D14" s="24">
        <f>COUNTIF('مصفوفة الربط'!F2:F126,"*GAP-B-02*")</f>
        <v>14</v>
      </c>
    </row>
    <row r="15" spans="1:4" ht="36" customHeight="1">
      <c r="A15" s="31" t="s">
        <v>950</v>
      </c>
      <c r="B15" s="38" t="s">
        <v>946</v>
      </c>
      <c r="C15" s="27" t="s">
        <v>951</v>
      </c>
      <c r="D15" s="21">
        <f>COUNTIF('مصفوفة الربط'!F2:F126,"*GAP-B-03*")</f>
        <v>2</v>
      </c>
    </row>
    <row r="16" spans="1:4" ht="36" customHeight="1">
      <c r="A16" s="32" t="s">
        <v>952</v>
      </c>
      <c r="B16" s="38" t="s">
        <v>946</v>
      </c>
      <c r="C16" s="25" t="s">
        <v>953</v>
      </c>
      <c r="D16" s="24">
        <f>COUNTIF('مصفوفة الربط'!F2:F126,"*GAP-B-04*")</f>
        <v>21</v>
      </c>
    </row>
    <row r="17" spans="1:4" ht="36" customHeight="1">
      <c r="A17" s="31" t="s">
        <v>954</v>
      </c>
      <c r="B17" s="38" t="s">
        <v>946</v>
      </c>
      <c r="C17" s="27" t="s">
        <v>955</v>
      </c>
      <c r="D17" s="21">
        <f>COUNTIF('مصفوفة الربط'!F2:F126,"*GAP-B-05*")</f>
        <v>36</v>
      </c>
    </row>
    <row r="18" spans="1:4" ht="36" customHeight="1">
      <c r="A18" s="32" t="s">
        <v>956</v>
      </c>
      <c r="B18" s="38" t="s">
        <v>946</v>
      </c>
      <c r="C18" s="25" t="s">
        <v>957</v>
      </c>
      <c r="D18" s="24">
        <f>COUNTIF('مصفوفة الربط'!F2:F126,"*GAP-B-06*")</f>
        <v>15</v>
      </c>
    </row>
    <row r="19" spans="1:4" ht="36" customHeight="1">
      <c r="A19" s="31" t="s">
        <v>958</v>
      </c>
      <c r="B19" s="38" t="s">
        <v>946</v>
      </c>
      <c r="C19" s="27" t="s">
        <v>959</v>
      </c>
      <c r="D19" s="21">
        <f>COUNTIF('مصفوفة الربط'!F2:F126,"*GAP-B-07*")</f>
        <v>5</v>
      </c>
    </row>
    <row r="20" spans="1:4" ht="36" customHeight="1">
      <c r="A20" s="32" t="s">
        <v>960</v>
      </c>
      <c r="B20" s="38" t="s">
        <v>946</v>
      </c>
      <c r="C20" s="25" t="s">
        <v>961</v>
      </c>
      <c r="D20" s="24">
        <f>COUNTIF('مصفوفة الربط'!F2:F126,"*GAP-B-08*")</f>
        <v>11</v>
      </c>
    </row>
    <row r="21" spans="1:4" ht="36" customHeight="1">
      <c r="A21" s="31" t="s">
        <v>962</v>
      </c>
      <c r="B21" s="38" t="s">
        <v>946</v>
      </c>
      <c r="C21" s="27" t="s">
        <v>963</v>
      </c>
      <c r="D21" s="21">
        <f>COUNTIF('مصفوفة الربط'!F2:F126,"*GAP-B-09*")</f>
        <v>19</v>
      </c>
    </row>
    <row r="22" spans="1:4" ht="36" customHeight="1">
      <c r="A22" s="32" t="s">
        <v>964</v>
      </c>
      <c r="B22" s="38" t="s">
        <v>946</v>
      </c>
      <c r="C22" s="25" t="s">
        <v>965</v>
      </c>
      <c r="D22" s="24">
        <f>COUNTIF('مصفوفة الربط'!F2:F126,"*GAP-B-10*")</f>
        <v>15</v>
      </c>
    </row>
    <row r="23" spans="1:4" ht="36" customHeight="1">
      <c r="A23" s="31" t="s">
        <v>966</v>
      </c>
      <c r="B23" s="38" t="s">
        <v>946</v>
      </c>
      <c r="C23" s="27" t="s">
        <v>967</v>
      </c>
      <c r="D23" s="21">
        <f>COUNTIF('مصفوفة الربط'!F2:F126,"*GAP-B-11*")</f>
        <v>5</v>
      </c>
    </row>
    <row r="24" spans="1:4" ht="36" customHeight="1">
      <c r="A24" s="32" t="s">
        <v>968</v>
      </c>
      <c r="B24" s="38" t="s">
        <v>946</v>
      </c>
      <c r="C24" s="25" t="s">
        <v>969</v>
      </c>
      <c r="D24" s="24">
        <f>COUNTIF('مصفوفة الربط'!F2:F126,"*GAP-B-12*")</f>
        <v>7</v>
      </c>
    </row>
    <row r="25" spans="1:4" ht="36" customHeight="1">
      <c r="A25" s="31" t="s">
        <v>970</v>
      </c>
      <c r="B25" s="38" t="s">
        <v>946</v>
      </c>
      <c r="C25" s="27" t="s">
        <v>971</v>
      </c>
      <c r="D25" s="21">
        <f>COUNTIF('مصفوفة الربط'!F2:F126,"*GAP-B-13*")</f>
        <v>15</v>
      </c>
    </row>
    <row r="26" spans="1:4" ht="36" customHeight="1">
      <c r="A26" s="32" t="s">
        <v>972</v>
      </c>
      <c r="B26" s="38" t="s">
        <v>946</v>
      </c>
      <c r="C26" s="25" t="s">
        <v>973</v>
      </c>
      <c r="D26" s="24">
        <f>COUNTIF('مصفوفة الربط'!F2:F126,"*GAP-B-14*")</f>
        <v>31</v>
      </c>
    </row>
    <row r="27" spans="1:4" ht="36" customHeight="1">
      <c r="A27" s="31" t="s">
        <v>974</v>
      </c>
      <c r="B27" s="38" t="s">
        <v>946</v>
      </c>
      <c r="C27" s="27" t="s">
        <v>975</v>
      </c>
      <c r="D27" s="21">
        <f>COUNTIF('مصفوفة الربط'!F2:F126,"*GAP-B-15*")</f>
        <v>22</v>
      </c>
    </row>
    <row r="28" spans="1:4" ht="36" customHeight="1">
      <c r="A28" s="32" t="s">
        <v>976</v>
      </c>
      <c r="B28" s="38" t="s">
        <v>946</v>
      </c>
      <c r="C28" s="25" t="s">
        <v>977</v>
      </c>
      <c r="D28" s="24">
        <f>COUNTIF('مصفوفة الربط'!F2:F126,"*GAP-B-16*")</f>
        <v>19</v>
      </c>
    </row>
    <row r="29" spans="1:4" ht="36" customHeight="1">
      <c r="A29" s="31" t="s">
        <v>978</v>
      </c>
      <c r="B29" s="38" t="s">
        <v>946</v>
      </c>
      <c r="C29" s="27" t="s">
        <v>979</v>
      </c>
      <c r="D29" s="21">
        <f>COUNTIF('مصفوفة الربط'!F2:F126,"*GAP-B-17*")</f>
        <v>28</v>
      </c>
    </row>
    <row r="30" spans="1:4" ht="36" customHeight="1">
      <c r="A30" s="32" t="s">
        <v>980</v>
      </c>
      <c r="B30" s="38" t="s">
        <v>946</v>
      </c>
      <c r="C30" s="25" t="s">
        <v>981</v>
      </c>
      <c r="D30" s="24">
        <f>COUNTIF('مصفوفة الربط'!F2:F126,"*GAP-B-18*")</f>
        <v>10</v>
      </c>
    </row>
    <row r="31" spans="1:4" ht="36" customHeight="1">
      <c r="A31" s="31" t="s">
        <v>982</v>
      </c>
      <c r="B31" s="38" t="s">
        <v>946</v>
      </c>
      <c r="C31" s="27" t="s">
        <v>983</v>
      </c>
      <c r="D31" s="21">
        <f>COUNTIF('مصفوفة الربط'!F2:F126,"*GAP-B-19*")</f>
        <v>2</v>
      </c>
    </row>
    <row r="32" spans="1:4" ht="36" customHeight="1">
      <c r="A32" s="32" t="s">
        <v>984</v>
      </c>
      <c r="B32" s="38" t="s">
        <v>946</v>
      </c>
      <c r="C32" s="25" t="s">
        <v>985</v>
      </c>
      <c r="D32" s="24">
        <f>COUNTIF('مصفوفة الربط'!F2:F126,"*GAP-B-20*")</f>
        <v>66</v>
      </c>
    </row>
    <row r="33" spans="1:4" ht="36" customHeight="1">
      <c r="A33" s="31" t="s">
        <v>986</v>
      </c>
      <c r="B33" s="38" t="s">
        <v>946</v>
      </c>
      <c r="C33" s="27" t="s">
        <v>987</v>
      </c>
      <c r="D33" s="21">
        <f>COUNTIF('مصفوفة الربط'!F2:F126,"*GAP-B-21*")</f>
        <v>65</v>
      </c>
    </row>
    <row r="34" spans="1:4" ht="36" customHeight="1">
      <c r="A34" s="32" t="s">
        <v>988</v>
      </c>
      <c r="B34" s="38" t="s">
        <v>946</v>
      </c>
      <c r="C34" s="25" t="s">
        <v>989</v>
      </c>
      <c r="D34" s="24">
        <f>COUNTIF('مصفوفة الربط'!F2:F126,"*GAP-B-22*")</f>
        <v>65</v>
      </c>
    </row>
    <row r="35" spans="1:4" ht="36" customHeight="1">
      <c r="A35" s="31" t="s">
        <v>990</v>
      </c>
      <c r="B35" s="38" t="s">
        <v>946</v>
      </c>
      <c r="C35" s="27" t="s">
        <v>991</v>
      </c>
      <c r="D35" s="21">
        <f>COUNTIF('مصفوفة الربط'!F2:F126,"*GAP-B-23*")</f>
        <v>6</v>
      </c>
    </row>
    <row r="36" spans="1:4" ht="36" customHeight="1">
      <c r="A36" s="32" t="s">
        <v>992</v>
      </c>
      <c r="B36" s="38" t="s">
        <v>946</v>
      </c>
      <c r="C36" s="25" t="s">
        <v>993</v>
      </c>
      <c r="D36" s="24">
        <f>COUNTIF('مصفوفة الربط'!F2:F126,"*GAP-B-24*")</f>
        <v>65</v>
      </c>
    </row>
    <row r="37" spans="1:4" ht="36" customHeight="1">
      <c r="A37" s="31" t="s">
        <v>994</v>
      </c>
      <c r="B37" s="38" t="s">
        <v>946</v>
      </c>
      <c r="C37" s="27" t="s">
        <v>995</v>
      </c>
      <c r="D37" s="21">
        <f>COUNTIF('مصفوفة الربط'!F2:F126,"*GAP-B-25*")</f>
        <v>66</v>
      </c>
    </row>
    <row r="38" spans="1:4" ht="36" customHeight="1">
      <c r="A38" s="32" t="s">
        <v>996</v>
      </c>
      <c r="B38" s="38" t="s">
        <v>946</v>
      </c>
      <c r="C38" s="25" t="s">
        <v>997</v>
      </c>
      <c r="D38" s="24">
        <f>COUNTIF('مصفوفة الربط'!F2:F126,"*GAP-B-26*")</f>
        <v>1</v>
      </c>
    </row>
    <row r="39" spans="1:4" ht="36" customHeight="1">
      <c r="A39" s="31" t="s">
        <v>998</v>
      </c>
      <c r="B39" s="38" t="s">
        <v>946</v>
      </c>
      <c r="C39" s="27" t="s">
        <v>999</v>
      </c>
      <c r="D39" s="21">
        <f>COUNTIF('مصفوفة الربط'!F2:F126,"*GAP-B-27*")</f>
        <v>1</v>
      </c>
    </row>
    <row r="40" spans="1:4" ht="36" customHeight="1">
      <c r="A40" s="32" t="s">
        <v>1000</v>
      </c>
      <c r="B40" s="38" t="s">
        <v>946</v>
      </c>
      <c r="C40" s="25" t="s">
        <v>1001</v>
      </c>
      <c r="D40" s="24">
        <f>COUNTIF('مصفوفة الربط'!F2:F126,"*GAP-B-28*")</f>
        <v>29</v>
      </c>
    </row>
    <row r="41" spans="1:4" ht="36" customHeight="1">
      <c r="A41" s="31" t="s">
        <v>1002</v>
      </c>
      <c r="B41" s="38" t="s">
        <v>946</v>
      </c>
      <c r="C41" s="27" t="s">
        <v>1003</v>
      </c>
      <c r="D41" s="21">
        <f>COUNTIF('مصفوفة الربط'!F2:F126,"*GAP-B-29*")</f>
        <v>3</v>
      </c>
    </row>
    <row r="42" spans="1:4" ht="36" customHeight="1">
      <c r="A42" s="32" t="s">
        <v>1004</v>
      </c>
      <c r="B42" s="38" t="s">
        <v>946</v>
      </c>
      <c r="C42" s="25" t="s">
        <v>1005</v>
      </c>
      <c r="D42" s="24">
        <f>COUNTIF('مصفوفة الربط'!F2:F126,"*GAP-B-30*")</f>
        <v>2</v>
      </c>
    </row>
    <row r="43" spans="1:4" ht="36" customHeight="1">
      <c r="A43" s="31" t="s">
        <v>1006</v>
      </c>
      <c r="B43" s="38" t="s">
        <v>946</v>
      </c>
      <c r="C43" s="27" t="s">
        <v>1007</v>
      </c>
      <c r="D43" s="21">
        <f>COUNTIF('مصفوفة الربط'!F2:F126,"*GAP-B-31*")</f>
        <v>2</v>
      </c>
    </row>
    <row r="44" spans="1:4" ht="36" customHeight="1">
      <c r="A44" s="32" t="s">
        <v>1008</v>
      </c>
      <c r="B44" s="39" t="s">
        <v>1009</v>
      </c>
      <c r="C44" s="25" t="s">
        <v>1010</v>
      </c>
      <c r="D44" s="24">
        <f>COUNTIF('مصفوفة الربط'!F2:F126,"*GAP-D-01*")</f>
        <v>6</v>
      </c>
    </row>
    <row r="45" spans="1:4" ht="36" customHeight="1">
      <c r="A45" s="31" t="s">
        <v>1011</v>
      </c>
      <c r="B45" s="39" t="s">
        <v>1009</v>
      </c>
      <c r="C45" s="27" t="s">
        <v>1012</v>
      </c>
      <c r="D45" s="21">
        <f>COUNTIF('مصفوفة الربط'!F2:F126,"*GAP-D-02*")</f>
        <v>5</v>
      </c>
    </row>
    <row r="46" spans="1:4" ht="36" customHeight="1">
      <c r="A46" s="32" t="s">
        <v>1013</v>
      </c>
      <c r="B46" s="39" t="s">
        <v>1009</v>
      </c>
      <c r="C46" s="25" t="s">
        <v>1014</v>
      </c>
      <c r="D46" s="24">
        <f>COUNTIF('مصفوفة الربط'!F2:F126,"*GAP-D-03*")</f>
        <v>21</v>
      </c>
    </row>
    <row r="47" spans="1:4" ht="36" customHeight="1">
      <c r="A47" s="31" t="s">
        <v>1015</v>
      </c>
      <c r="B47" s="39" t="s">
        <v>1009</v>
      </c>
      <c r="C47" s="27" t="s">
        <v>1016</v>
      </c>
      <c r="D47" s="21">
        <f>COUNTIF('مصفوفة الربط'!F2:F126,"*GAP-D-04*")</f>
        <v>3</v>
      </c>
    </row>
    <row r="48" spans="1:4" ht="36" customHeight="1">
      <c r="A48" s="32" t="s">
        <v>1017</v>
      </c>
      <c r="B48" s="39" t="s">
        <v>1009</v>
      </c>
      <c r="C48" s="25" t="s">
        <v>1018</v>
      </c>
      <c r="D48" s="24">
        <f>COUNTIF('مصفوفة الربط'!F2:F126,"*GAP-D-05*")</f>
        <v>4</v>
      </c>
    </row>
    <row r="49" spans="1:4" ht="36" customHeight="1">
      <c r="A49" s="31" t="s">
        <v>1019</v>
      </c>
      <c r="B49" s="39" t="s">
        <v>1009</v>
      </c>
      <c r="C49" s="27" t="s">
        <v>1020</v>
      </c>
      <c r="D49" s="21">
        <f>COUNTIF('مصفوفة الربط'!F2:F126,"*GAP-D-06*")</f>
        <v>3</v>
      </c>
    </row>
    <row r="50" spans="1:4" ht="36" customHeight="1">
      <c r="A50" s="32" t="s">
        <v>1021</v>
      </c>
      <c r="B50" s="39" t="s">
        <v>1009</v>
      </c>
      <c r="C50" s="25" t="s">
        <v>1022</v>
      </c>
      <c r="D50" s="24">
        <f>COUNTIF('مصفوفة الربط'!F2:F126,"*GAP-D-07*")</f>
        <v>15</v>
      </c>
    </row>
    <row r="51" spans="1:4" ht="36" customHeight="1">
      <c r="A51" s="31" t="s">
        <v>1023</v>
      </c>
      <c r="B51" s="39" t="s">
        <v>1009</v>
      </c>
      <c r="C51" s="27" t="s">
        <v>1024</v>
      </c>
      <c r="D51" s="21">
        <f>COUNTIF('مصفوفة الربط'!F2:F126,"*GAP-D-08*")</f>
        <v>1</v>
      </c>
    </row>
    <row r="52" spans="1:4" ht="36" customHeight="1">
      <c r="A52" s="32" t="s">
        <v>1025</v>
      </c>
      <c r="B52" s="39" t="s">
        <v>1009</v>
      </c>
      <c r="C52" s="25" t="s">
        <v>1026</v>
      </c>
      <c r="D52" s="24">
        <f>COUNTIF('مصفوفة الربط'!F2:F126,"*GAP-D-09*")</f>
        <v>1</v>
      </c>
    </row>
    <row r="53" spans="1:4" ht="36" customHeight="1">
      <c r="A53" s="31" t="s">
        <v>1027</v>
      </c>
      <c r="B53" s="39" t="s">
        <v>1009</v>
      </c>
      <c r="C53" s="27" t="s">
        <v>1028</v>
      </c>
      <c r="D53" s="21">
        <f>COUNTIF('مصفوفة الربط'!F2:F126,"*GAP-D-10*")</f>
        <v>1</v>
      </c>
    </row>
    <row r="54" spans="1:4" ht="36" customHeight="1">
      <c r="A54" s="32" t="s">
        <v>1029</v>
      </c>
      <c r="B54" s="39" t="s">
        <v>1009</v>
      </c>
      <c r="C54" s="25" t="s">
        <v>1030</v>
      </c>
      <c r="D54" s="24">
        <f>COUNTIF('مصفوفة الربط'!F2:F126,"*GAP-D-11*")</f>
        <v>21</v>
      </c>
    </row>
    <row r="55" spans="1:4" ht="36" customHeight="1">
      <c r="A55" s="31" t="s">
        <v>1031</v>
      </c>
      <c r="B55" s="39" t="s">
        <v>1009</v>
      </c>
      <c r="C55" s="27" t="s">
        <v>1032</v>
      </c>
      <c r="D55" s="21">
        <f>COUNTIF('مصفوفة الربط'!F2:F126,"*GAP-D-12*")</f>
        <v>21</v>
      </c>
    </row>
    <row r="56" spans="1:4" ht="36" customHeight="1">
      <c r="A56" s="32" t="s">
        <v>1033</v>
      </c>
      <c r="B56" s="39" t="s">
        <v>1009</v>
      </c>
      <c r="C56" s="25" t="s">
        <v>1034</v>
      </c>
      <c r="D56" s="24">
        <f>COUNTIF('مصفوفة الربط'!F2:F126,"*GAP-D-13*")</f>
        <v>2</v>
      </c>
    </row>
    <row r="57" spans="1:4" ht="36" customHeight="1">
      <c r="A57" s="31" t="s">
        <v>1035</v>
      </c>
      <c r="B57" s="39" t="s">
        <v>1009</v>
      </c>
      <c r="C57" s="27" t="s">
        <v>1036</v>
      </c>
      <c r="D57" s="21">
        <f>COUNTIF('مصفوفة الربط'!F2:F126,"*GAP-D-14*")</f>
        <v>2</v>
      </c>
    </row>
    <row r="58" spans="1:4" ht="36" customHeight="1">
      <c r="A58" s="32" t="s">
        <v>1037</v>
      </c>
      <c r="B58" s="39" t="s">
        <v>1009</v>
      </c>
      <c r="C58" s="25" t="s">
        <v>1038</v>
      </c>
      <c r="D58" s="24">
        <f>COUNTIF('مصفوفة الربط'!F2:F126,"*GAP-D-15*")</f>
        <v>1</v>
      </c>
    </row>
    <row r="59" spans="1:4" ht="36" customHeight="1">
      <c r="A59" s="31" t="s">
        <v>1039</v>
      </c>
      <c r="B59" s="39" t="s">
        <v>1009</v>
      </c>
      <c r="C59" s="27" t="s">
        <v>1040</v>
      </c>
      <c r="D59" s="21">
        <f>COUNTIF('مصفوفة الربط'!F2:F126,"*GAP-D-16*")</f>
        <v>4</v>
      </c>
    </row>
    <row r="60" spans="1:4" ht="36" customHeight="1">
      <c r="A60" s="32" t="s">
        <v>1041</v>
      </c>
      <c r="B60" s="39" t="s">
        <v>1009</v>
      </c>
      <c r="C60" s="25" t="s">
        <v>1042</v>
      </c>
      <c r="D60" s="24">
        <f>COUNTIF('مصفوفة الربط'!F2:F126,"*GAP-D-17*")</f>
        <v>17</v>
      </c>
    </row>
    <row r="61" spans="1:4" ht="36" customHeight="1">
      <c r="A61" s="31" t="s">
        <v>1043</v>
      </c>
      <c r="B61" s="39" t="s">
        <v>1009</v>
      </c>
      <c r="C61" s="27" t="s">
        <v>1044</v>
      </c>
      <c r="D61" s="21">
        <f>COUNTIF('مصفوفة الربط'!F2:F126,"*GAP-D-18*")</f>
        <v>1</v>
      </c>
    </row>
    <row r="62" spans="1:4" ht="36" customHeight="1">
      <c r="A62" s="32" t="s">
        <v>1045</v>
      </c>
      <c r="B62" s="39" t="s">
        <v>1009</v>
      </c>
      <c r="C62" s="25" t="s">
        <v>1046</v>
      </c>
      <c r="D62" s="24">
        <f>COUNTIF('مصفوفة الربط'!F2:F126,"*GAP-D-19*")</f>
        <v>2</v>
      </c>
    </row>
    <row r="63" spans="1:4" ht="36" customHeight="1">
      <c r="A63" s="31" t="s">
        <v>1047</v>
      </c>
      <c r="B63" s="39" t="s">
        <v>1009</v>
      </c>
      <c r="C63" s="27" t="s">
        <v>1048</v>
      </c>
      <c r="D63" s="21">
        <f>COUNTIF('مصفوفة الربط'!F2:F126,"*GAP-D-20*")</f>
        <v>16</v>
      </c>
    </row>
    <row r="64" spans="1:4" ht="36" customHeight="1">
      <c r="A64" s="32" t="s">
        <v>1049</v>
      </c>
      <c r="B64" s="39" t="s">
        <v>1009</v>
      </c>
      <c r="C64" s="25" t="s">
        <v>1050</v>
      </c>
      <c r="D64" s="24">
        <f>COUNTIF('مصفوفة الربط'!F2:F126,"*GAP-D-21*")</f>
        <v>2</v>
      </c>
    </row>
    <row r="65" spans="1:4" ht="36" customHeight="1">
      <c r="A65" s="31" t="s">
        <v>1051</v>
      </c>
      <c r="B65" s="39" t="s">
        <v>1009</v>
      </c>
      <c r="C65" s="27" t="s">
        <v>1052</v>
      </c>
      <c r="D65" s="21">
        <f>COUNTIF('مصفوفة الربط'!F2:F126,"*GAP-D-22*")</f>
        <v>2</v>
      </c>
    </row>
    <row r="66" spans="1:4" ht="36" customHeight="1">
      <c r="A66" s="32" t="s">
        <v>1053</v>
      </c>
      <c r="B66" s="39" t="s">
        <v>1009</v>
      </c>
      <c r="C66" s="25" t="s">
        <v>1054</v>
      </c>
      <c r="D66" s="24">
        <f>COUNTIF('مصفوفة الربط'!F2:F126,"*GAP-D-23*")</f>
        <v>15</v>
      </c>
    </row>
    <row r="67" spans="1:4" ht="36" customHeight="1">
      <c r="A67" s="31" t="s">
        <v>1055</v>
      </c>
      <c r="B67" s="39" t="s">
        <v>1009</v>
      </c>
      <c r="C67" s="27" t="s">
        <v>1056</v>
      </c>
      <c r="D67" s="21">
        <f>COUNTIF('مصفوفة الربط'!F2:F126,"*GAP-D-24*")</f>
        <v>5</v>
      </c>
    </row>
    <row r="68" spans="1:4" ht="36" customHeight="1">
      <c r="A68" s="32" t="s">
        <v>1057</v>
      </c>
      <c r="B68" s="39" t="s">
        <v>1009</v>
      </c>
      <c r="C68" s="25" t="s">
        <v>1058</v>
      </c>
      <c r="D68" s="24">
        <f>COUNTIF('مصفوفة الربط'!F2:F126,"*GAP-D-25*")</f>
        <v>5</v>
      </c>
    </row>
    <row r="69" spans="1:4" ht="36" customHeight="1">
      <c r="A69" s="31" t="s">
        <v>1059</v>
      </c>
      <c r="B69" s="39" t="s">
        <v>1009</v>
      </c>
      <c r="C69" s="27" t="s">
        <v>1060</v>
      </c>
      <c r="D69" s="21">
        <f>COUNTIF('مصفوفة الربط'!F2:F126,"*GAP-D-26*")</f>
        <v>3</v>
      </c>
    </row>
    <row r="70" spans="1:4" ht="36" customHeight="1">
      <c r="A70" s="32" t="s">
        <v>1061</v>
      </c>
      <c r="B70" s="39" t="s">
        <v>1009</v>
      </c>
      <c r="C70" s="25" t="s">
        <v>1062</v>
      </c>
      <c r="D70" s="24">
        <f>COUNTIF('مصفوفة الربط'!F2:F126,"*GAP-D-27*")</f>
        <v>4</v>
      </c>
    </row>
    <row r="71" spans="1:4" ht="36" customHeight="1">
      <c r="A71" s="31" t="s">
        <v>1063</v>
      </c>
      <c r="B71" s="39" t="s">
        <v>1009</v>
      </c>
      <c r="C71" s="27" t="s">
        <v>1064</v>
      </c>
      <c r="D71" s="21">
        <f>COUNTIF('مصفوفة الربط'!F2:F126,"*GAP-D-28*")</f>
        <v>2</v>
      </c>
    </row>
    <row r="72" spans="1:4" ht="36" customHeight="1">
      <c r="A72" s="32" t="s">
        <v>1065</v>
      </c>
      <c r="B72" s="39" t="s">
        <v>1009</v>
      </c>
      <c r="C72" s="25" t="s">
        <v>1066</v>
      </c>
      <c r="D72" s="24">
        <f>COUNTIF('مصفوفة الربط'!F2:F126,"*GAP-D-29*")</f>
        <v>2</v>
      </c>
    </row>
    <row r="73" spans="1:4" ht="36" customHeight="1">
      <c r="A73" s="31" t="s">
        <v>1067</v>
      </c>
      <c r="B73" s="39" t="s">
        <v>1009</v>
      </c>
      <c r="C73" s="27" t="s">
        <v>1068</v>
      </c>
      <c r="D73" s="21">
        <f>COUNTIF('مصفوفة الربط'!F2:F126,"*GAP-D-30*")</f>
        <v>5</v>
      </c>
    </row>
    <row r="74" spans="1:4" ht="36" customHeight="1">
      <c r="A74" s="32" t="s">
        <v>1069</v>
      </c>
      <c r="B74" s="39" t="s">
        <v>1009</v>
      </c>
      <c r="C74" s="25" t="s">
        <v>1070</v>
      </c>
      <c r="D74" s="24">
        <f>COUNTIF('مصفوفة الربط'!F2:F126,"*GAP-D-31*")</f>
        <v>6</v>
      </c>
    </row>
    <row r="75" spans="1:4" ht="36" customHeight="1">
      <c r="A75" s="31" t="s">
        <v>1071</v>
      </c>
      <c r="B75" s="40" t="s">
        <v>1072</v>
      </c>
      <c r="C75" s="27" t="s">
        <v>1073</v>
      </c>
      <c r="D75" s="21">
        <f>COUNTIF('مصفوفة الربط'!F2:F126,"*GAP-T-1*")</f>
        <v>45</v>
      </c>
    </row>
    <row r="76" spans="1:4" ht="36" customHeight="1">
      <c r="A76" s="32" t="s">
        <v>1074</v>
      </c>
      <c r="B76" s="40" t="s">
        <v>1072</v>
      </c>
      <c r="C76" s="25" t="s">
        <v>1075</v>
      </c>
      <c r="D76" s="24">
        <f>COUNTIF('مصفوفة الربط'!F2:F126,"*GAP-T-2*")</f>
        <v>6</v>
      </c>
    </row>
    <row r="77" spans="1:4" ht="36" customHeight="1">
      <c r="A77" s="31" t="s">
        <v>1076</v>
      </c>
      <c r="B77" s="40" t="s">
        <v>1072</v>
      </c>
      <c r="C77" s="27" t="s">
        <v>1077</v>
      </c>
      <c r="D77" s="21">
        <f>COUNTIF('مصفوفة الربط'!F2:F126,"*GAP-T-3*")</f>
        <v>3</v>
      </c>
    </row>
    <row r="78" spans="1:4" ht="36" customHeight="1">
      <c r="A78" s="32" t="s">
        <v>1078</v>
      </c>
      <c r="B78" s="40" t="s">
        <v>1072</v>
      </c>
      <c r="C78" s="25" t="s">
        <v>1079</v>
      </c>
      <c r="D78" s="24">
        <f>COUNTIF('مصفوفة الربط'!F2:F126,"*GAP-T-4*")</f>
        <v>2</v>
      </c>
    </row>
    <row r="79" spans="1:4" ht="36" customHeight="1">
      <c r="A79" s="31" t="s">
        <v>1080</v>
      </c>
      <c r="B79" s="40" t="s">
        <v>1072</v>
      </c>
      <c r="C79" s="27" t="s">
        <v>1081</v>
      </c>
      <c r="D79" s="21">
        <f>COUNTIF('مصفوفة الربط'!F2:F126,"*GAP-T-5*")</f>
        <v>2</v>
      </c>
    </row>
    <row r="80" spans="1:4" ht="36" customHeight="1">
      <c r="A80" s="32" t="s">
        <v>1082</v>
      </c>
      <c r="B80" s="40" t="s">
        <v>1072</v>
      </c>
      <c r="C80" s="25" t="s">
        <v>1083</v>
      </c>
      <c r="D80" s="24">
        <f>COUNTIF('مصفوفة الربط'!F2:F126,"*GAP-T-6*")</f>
        <v>2</v>
      </c>
    </row>
    <row r="81" spans="1:4" ht="36" customHeight="1">
      <c r="A81" s="31" t="s">
        <v>1084</v>
      </c>
      <c r="B81" s="40" t="s">
        <v>1072</v>
      </c>
      <c r="C81" s="27" t="s">
        <v>1085</v>
      </c>
      <c r="D81" s="21">
        <f>COUNTIF('مصفوفة الربط'!F2:F126,"*GAP-T-7*")</f>
        <v>2</v>
      </c>
    </row>
    <row r="82" spans="1:4" ht="36" customHeight="1">
      <c r="A82" s="32" t="s">
        <v>1086</v>
      </c>
      <c r="B82" s="40" t="s">
        <v>1072</v>
      </c>
      <c r="C82" s="25" t="s">
        <v>1087</v>
      </c>
      <c r="D82" s="24">
        <f>COUNTIF('مصفوفة الربط'!F2:F126,"*GAP-T-8*")</f>
        <v>8</v>
      </c>
    </row>
    <row r="83" spans="1:4" ht="36" customHeight="1">
      <c r="A83" s="31" t="s">
        <v>1088</v>
      </c>
      <c r="B83" s="40" t="s">
        <v>1072</v>
      </c>
      <c r="C83" s="27" t="s">
        <v>1089</v>
      </c>
      <c r="D83" s="21">
        <f>COUNTIF('مصفوفة الربط'!F2:F126,"*GAP-T-9*")</f>
        <v>2</v>
      </c>
    </row>
    <row r="84" spans="1:4" ht="36" customHeight="1">
      <c r="A84" s="32" t="s">
        <v>1090</v>
      </c>
      <c r="B84" s="40" t="s">
        <v>1072</v>
      </c>
      <c r="C84" s="25" t="s">
        <v>1091</v>
      </c>
      <c r="D84" s="24">
        <f>COUNTIF('مصفوفة الربط'!F2:F126,"*GAP-T-10*")</f>
        <v>6</v>
      </c>
    </row>
    <row r="85" spans="1:4" ht="36" customHeight="1">
      <c r="A85" s="31" t="s">
        <v>1092</v>
      </c>
      <c r="B85" s="40" t="s">
        <v>1072</v>
      </c>
      <c r="C85" s="27" t="s">
        <v>1093</v>
      </c>
      <c r="D85" s="21">
        <f>COUNTIF('مصفوفة الربط'!F2:F126,"*GAP-T-11*")</f>
        <v>15</v>
      </c>
    </row>
    <row r="86" spans="1:4" ht="36" customHeight="1">
      <c r="A86" s="32" t="s">
        <v>1094</v>
      </c>
      <c r="B86" s="40" t="s">
        <v>1072</v>
      </c>
      <c r="C86" s="25" t="s">
        <v>1095</v>
      </c>
      <c r="D86" s="24">
        <f>COUNTIF('مصفوفة الربط'!F2:F126,"*GAP-T-12*")</f>
        <v>20</v>
      </c>
    </row>
    <row r="87" spans="1:4" ht="36" customHeight="1">
      <c r="A87" s="31" t="s">
        <v>1096</v>
      </c>
      <c r="B87" s="40" t="s">
        <v>1072</v>
      </c>
      <c r="C87" s="27" t="s">
        <v>1097</v>
      </c>
      <c r="D87" s="21">
        <f>COUNTIF('مصفوفة الربط'!F2:F126,"*GAP-T-13*")</f>
        <v>5</v>
      </c>
    </row>
    <row r="88" spans="1:4" ht="36" customHeight="1">
      <c r="A88" s="32" t="s">
        <v>1098</v>
      </c>
      <c r="B88" s="40" t="s">
        <v>1072</v>
      </c>
      <c r="C88" s="25" t="s">
        <v>1099</v>
      </c>
      <c r="D88" s="24">
        <f>COUNTIF('مصفوفة الربط'!F2:F126,"*GAP-T-14*")</f>
        <v>11</v>
      </c>
    </row>
    <row r="89" spans="1:4" ht="36" customHeight="1">
      <c r="A89" s="31" t="s">
        <v>1100</v>
      </c>
      <c r="B89" s="40" t="s">
        <v>1072</v>
      </c>
      <c r="C89" s="27" t="s">
        <v>1101</v>
      </c>
      <c r="D89" s="21">
        <f>COUNTIF('مصفوفة الربط'!F2:F126,"*GAP-T-15*")</f>
        <v>7</v>
      </c>
    </row>
    <row r="90" spans="1:4" ht="36" customHeight="1">
      <c r="A90" s="32" t="s">
        <v>1102</v>
      </c>
      <c r="B90" s="40" t="s">
        <v>1072</v>
      </c>
      <c r="C90" s="25" t="s">
        <v>1103</v>
      </c>
      <c r="D90" s="24">
        <f>COUNTIF('مصفوفة الربط'!F2:F126,"*GAP-T-16*")</f>
        <v>1</v>
      </c>
    </row>
    <row r="91" spans="1:4" ht="36" customHeight="1">
      <c r="A91" s="31" t="s">
        <v>1104</v>
      </c>
      <c r="B91" s="40" t="s">
        <v>1072</v>
      </c>
      <c r="C91" s="27" t="s">
        <v>1105</v>
      </c>
      <c r="D91" s="21">
        <f>COUNTIF('مصفوفة الربط'!F2:F126,"*GAP-T-17*")</f>
        <v>4</v>
      </c>
    </row>
    <row r="92" spans="1:4" ht="36" customHeight="1">
      <c r="A92" s="32" t="s">
        <v>1106</v>
      </c>
      <c r="B92" s="40" t="s">
        <v>1072</v>
      </c>
      <c r="C92" s="25" t="s">
        <v>1107</v>
      </c>
      <c r="D92" s="24">
        <f>COUNTIF('مصفوفة الربط'!F2:F126,"*GAP-T-18*")</f>
        <v>1</v>
      </c>
    </row>
    <row r="93" spans="1:4" ht="36" customHeight="1">
      <c r="A93" s="31" t="s">
        <v>1108</v>
      </c>
      <c r="B93" s="40" t="s">
        <v>1072</v>
      </c>
      <c r="C93" s="27" t="s">
        <v>1109</v>
      </c>
      <c r="D93" s="21">
        <f>COUNTIF('مصفوفة الربط'!F2:F126,"*GAP-T-19*")</f>
        <v>5</v>
      </c>
    </row>
    <row r="94" spans="1:4" ht="36" customHeight="1">
      <c r="A94" s="32" t="s">
        <v>1110</v>
      </c>
      <c r="B94" s="40" t="s">
        <v>1072</v>
      </c>
      <c r="C94" s="25" t="s">
        <v>1111</v>
      </c>
      <c r="D94" s="24">
        <f>COUNTIF('مصفوفة الربط'!F2:F126,"*GAP-T-20*")</f>
        <v>4</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مصفوفة الربط</vt:lpstr>
      <vt:lpstr>ملخص التغطية</vt:lpstr>
      <vt:lpstr>مرجع الأهداف</vt:lpstr>
      <vt:lpstr>مرجع المتطلبات</vt:lpstr>
      <vt:lpstr>مرجع الفجوات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Hani Adel Ibraheem Rehan</cp:lastModifiedBy>
  <cp:revision>0</cp:revision>
  <dcterms:created xsi:type="dcterms:W3CDTF">2026-04-21T09:46:22Z</dcterms:created>
  <dcterms:modified xsi:type="dcterms:W3CDTF">2026-04-21T09:56:03Z</dcterms:modified>
  <dc:language>en-US</dc:language>
</cp:coreProperties>
</file>