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Ahmed\Local\IMPORTANT\RMG\ETEC\"/>
    </mc:Choice>
  </mc:AlternateContent>
  <xr:revisionPtr revIDLastSave="0" documentId="13_ncr:1_{7E5EBAAD-8438-4CEF-95A2-2B8B07A3E4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2 بيانات" sheetId="3" r:id="rId1"/>
    <sheet name="لوحة Q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4" l="1"/>
  <c r="B32" i="4"/>
  <c r="B31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5" i="4"/>
  <c r="B4" i="4"/>
  <c r="B3" i="4"/>
</calcChain>
</file>

<file path=xl/sharedStrings.xml><?xml version="1.0" encoding="utf-8"?>
<sst xmlns="http://schemas.openxmlformats.org/spreadsheetml/2006/main" count="112" uniqueCount="72">
  <si>
    <t>اسم المشروع</t>
  </si>
  <si>
    <t>بداية مخططة</t>
  </si>
  <si>
    <t>نهاية مخططة</t>
  </si>
  <si>
    <t>بداية فعلية</t>
  </si>
  <si>
    <t>الحالة في نهاية الربع</t>
  </si>
  <si>
    <t>الانحراف</t>
  </si>
  <si>
    <t>مستوى المخاطر</t>
  </si>
  <si>
    <t>ملاحظات</t>
  </si>
  <si>
    <t>تحديات من تقارير PMO</t>
  </si>
  <si>
    <t>تحليل ممارسة البنية المؤسسية</t>
  </si>
  <si>
    <t>توصية ممارسة البنية المؤسسية</t>
  </si>
  <si>
    <t>Q4 2025</t>
  </si>
  <si>
    <t>متقدم عن الخطة</t>
  </si>
  <si>
    <t>Ahead</t>
  </si>
  <si>
    <t>Low</t>
  </si>
  <si>
    <t>تركيب وتشغيل اداة المحاكاة الافتراضية للبيانات</t>
  </si>
  <si>
    <t>Q4 2024</t>
  </si>
  <si>
    <t>Q3 2025</t>
  </si>
  <si>
    <t>تعدد مصادر البيانات وضعف توحيد معرّفات الكيانات بين الأنظمة المختلفة.</t>
  </si>
  <si>
    <t>أداة المحاكاة الافتراضية للبيانات تعزز قدرات الاختبار والتحليل الآمن دون لمس البيانات الحقيقية.</t>
  </si>
  <si>
    <t>ربط الأداة بإطار حوكمة البيانات وتحديد سياسات واضحة لاستخدام النسخ الافتراضية في مشاريع التحول.</t>
  </si>
  <si>
    <t>مشروع توفير نظام للاختبارات الطارئة</t>
  </si>
  <si>
    <t>Q1 2024</t>
  </si>
  <si>
    <t>تداخل المتطلبات بين الاختبارات التشغيلية والاختبارات الطارئة وصعوبة ترتيب الأولويات.</t>
  </si>
  <si>
    <t>النظام يمثل قدرة حرجة لاستمرارية أعمال الاختبارات ويدعم جاهزية الطوارئ.</t>
  </si>
  <si>
    <t>توحيد معمارية منصات الاختبارات وربط سيناريوهات الطوارئ بخطط استمرارية الأعمال المعتمدة.</t>
  </si>
  <si>
    <t>تطبيق مستقبلهم – الدعم الفني</t>
  </si>
  <si>
    <t>Q2 2024</t>
  </si>
  <si>
    <t>Q2 2025</t>
  </si>
  <si>
    <t>تغييرات متكررة على تقارير أولياء الأمور وتأخر اعتماد النسخة النهائية من أصحاب المصلحة.</t>
  </si>
  <si>
    <t>التطبيق يمثل قناة رئيسية لتواصل الهيئة مع الطلاب وأولياء الأمور ويؤثر مباشرة على تجربة المستفيد.</t>
  </si>
  <si>
    <t>تفعيل حوكمة إدارة المتطلبات وتثبيت إصدارات واضحة للتطبيق مع دورات تحسين أسرع وأخف.</t>
  </si>
  <si>
    <t>النظام المحدث لتطبيق الاختبارات الرقمية</t>
  </si>
  <si>
    <t>Q3 2024</t>
  </si>
  <si>
    <t>حسب المخطط</t>
  </si>
  <si>
    <t>On Track</t>
  </si>
  <si>
    <t>Medium</t>
  </si>
  <si>
    <t>انتقال تدريجي من النسخة القديمة إلى النسخة المحدثة مع الحاجة للحفاظ على الاستقرار التشغيلي.</t>
  </si>
  <si>
    <t>تحديث التطبيق الرقمي للاختبارات عنصر أساس في رحلة التحول من الاختبارات الورقية إلى الرقمية بالكامل.</t>
  </si>
  <si>
    <t>اعتماد معمارية طبقية للتطبيق وفصل طبقة واجهة المستفيد عن محرك الاختبار لضمان المرونة والتوسع.</t>
  </si>
  <si>
    <t>تأسيس وتنفيذ وتشغيل البنية المؤسسية في هيئة تقويم التعليم والتدريب</t>
  </si>
  <si>
    <t>Q1 2025</t>
  </si>
  <si>
    <t>قلة الموارد المخصصة للممارسة وتعدد الطلبات الاستشارية دون أولوية واضحة.</t>
  </si>
  <si>
    <t>الممارسة في طور التأسيس ولا تزال في مرحلة بناء النموذج التشغيلي والأدوار والمسؤوليات.</t>
  </si>
  <si>
    <t>استكمال تصميم نموذج تشغيل ممارسة البنية المؤسسية وربطه رسمياً بدورة حوكمة المشاريع والمشتريات.</t>
  </si>
  <si>
    <t>مشروع البنية التحتية لنظام سطح المكتب الافتراضي VDI</t>
  </si>
  <si>
    <t>تفاوت أداء بيئة VDI بين المقر الرئيس والفروع واعتمادية التجربة على جودة الاتصال.</t>
  </si>
  <si>
    <t>VDI قدرة تمكينية مهمة للعمل عن بعد ولتوفير بيئات اختبار وتطوير مرنة بحقوق وصول منضبطة.</t>
  </si>
  <si>
    <t>ربط تصميم VDI بمعمارية الهوية والوصول الموحد وتوحيد سياسات الملفات والتخزين للمستخدمين.</t>
  </si>
  <si>
    <t>نظام الاعتماد</t>
  </si>
  <si>
    <t>Q4 2026</t>
  </si>
  <si>
    <t>تعقيد الرحلات والإجراءات بين مراكز الهيئة وتنوع المتطلبات لكل نوع من الاعتماد.</t>
  </si>
  <si>
    <t>نظام الاعتماد هو القلب التشغيلي لأعمال الهيئة ويجب أن يعكس النماذج المرجعية للاعتماد.</t>
  </si>
  <si>
    <t>نمذجة Journey كاملة لرحلة الاعتماد وربطها بنماذج بيانات موحدة وإجراءات رقمية معيارية.</t>
  </si>
  <si>
    <t>إجمالي عدد المشاريع في هذا الربع</t>
  </si>
  <si>
    <t>عدد المشاريع عالية المخاطر في هذا الربع</t>
  </si>
  <si>
    <t>عدد المشاريع</t>
  </si>
  <si>
    <t>High</t>
  </si>
  <si>
    <t>تقدم أعلى من المتوقع في نهاية الربع 2.</t>
  </si>
  <si>
    <t>متأخر</t>
  </si>
  <si>
    <t>Behind</t>
  </si>
  <si>
    <t>تقدم أقل من المخطط في نهاية الربع 2.</t>
  </si>
  <si>
    <t>تقدم قريب من الخطة في نهاية الربع 2.</t>
  </si>
  <si>
    <t>نظام الاتصالات الإدارية</t>
  </si>
  <si>
    <t>تأخر مركز الوثائق والمحفوظات في اعتماد الوضع الراهن والمقترح وحصر الأعمال.</t>
  </si>
  <si>
    <t>النظام جزء أساسي من دورة حياة الوثائق والتراسل الداخلي، ويؤثر على الشفافية وسرعة الإنجاز.</t>
  </si>
  <si>
    <t>ربط نظام الاتصالات الإدارية مع تصنيف الوثائق وأرشفتها رقمياً وإدخال نماذج موحدة للإجراءات.</t>
  </si>
  <si>
    <t>لوحة متابعة الربع Q2</t>
  </si>
  <si>
    <t>متوسط التقدم في الربع Q2</t>
  </si>
  <si>
    <t>تقدم الربع Q2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</si>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</sst>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vertical="center" wrapText="1" readingOrder="2"/>
    </xf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نسب التقدم في الربع </a:t>
            </a:r>
            <a:r>
              <a:rPr lang="en-US"/>
              <a:t>Q2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'لوحة Q2'!$B$8</c:f>
              <c:strCache>
                <c:ptCount val="1"/>
                <c:pt idx="0">
                  <c:v>تقدم الربع Q2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'لوحة Q2'!$A$9:$A$16</c:f>
              <c:strCache>
                <c:ptCount val="8"/>
                <c:pt idx="0">
                  <c:v>تركيب وتشغيل اداة المحاكاة الافتراضية للبيانات</c:v>
                </c:pt>
                <c:pt idx="1">
                  <c:v>مشروع توفير نظام للاختبارات الطارئة</c:v>
                </c:pt>
                <c:pt idx="2">
                  <c:v>تطبيق مستقبلهم – الدعم الفني</c:v>
                </c:pt>
                <c:pt idx="3">
                  <c:v>النظام المحدث لتطبيق الاختبارات الرقمية</c:v>
                </c:pt>
                <c:pt idx="4">
                  <c:v>تأسيس وتنفيذ وتشغيل البنية المؤسسية في هيئة تقويم التعليم والتدريب</c:v>
                </c:pt>
                <c:pt idx="5">
                  <c:v>مشروع البنية التحتية لنظام سطح المكتب الافتراضي VDI</c:v>
                </c:pt>
                <c:pt idx="6">
                  <c:v>نظام الاعتماد</c:v>
                </c:pt>
                <c:pt idx="7">
                  <c:v>نظام الاتصالات الإدارية</c:v>
                </c:pt>
              </c:strCache>
            </c:strRef>
          </c:cat>
          <c:val>
            <c:numRef>
              <c:f>'لوحة Q2'!$B$9:$B$16</c:f>
              <c:numCache>
                <c:formatCode>General</c:formatCode>
                <c:ptCount val="8"/>
                <c:pt idx="0">
                  <c:v>60</c:v>
                </c:pt>
                <c:pt idx="1">
                  <c:v>70</c:v>
                </c:pt>
                <c:pt idx="2">
                  <c:v>90.6</c:v>
                </c:pt>
                <c:pt idx="3">
                  <c:v>60</c:v>
                </c:pt>
                <c:pt idx="4">
                  <c:v>35</c:v>
                </c:pt>
                <c:pt idx="5">
                  <c:v>55</c:v>
                </c:pt>
                <c:pt idx="6">
                  <c:v>40</c:v>
                </c:pt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4-48A1-94B4-1E20842B7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المشروعات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النسبة المئوية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توزيع مستويات المخاطر - الربع </a:t>
            </a:r>
            <a:r>
              <a:rPr lang="en-US"/>
              <a:t>Q2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'لوحة Q2'!$B$30</c:f>
              <c:strCache>
                <c:ptCount val="1"/>
                <c:pt idx="0">
                  <c:v>عدد المشاريع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'لوحة Q2'!$A$31:$A$33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'لوحة Q2'!$B$31:$B$33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3-446E-8C11-979607474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1</xdr:row>
      <xdr:rowOff>38100</xdr:rowOff>
    </xdr:from>
    <xdr:ext cx="6699250" cy="2813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rightToLeft="1" tabSelected="1" workbookViewId="0">
      <selection activeCell="I2" sqref="I2"/>
    </sheetView>
  </sheetViews>
  <sheetFormatPr defaultColWidth="9.6328125" defaultRowHeight="14.5" x14ac:dyDescent="0.35"/>
  <cols>
    <col min="1" max="1" width="18.453125" style="3" customWidth="1"/>
    <col min="2" max="3" width="7.6328125" style="3" bestFit="1" customWidth="1"/>
    <col min="4" max="4" width="8.36328125" style="3" bestFit="1" customWidth="1"/>
    <col min="5" max="5" width="4.90625" style="3" customWidth="1"/>
    <col min="6" max="6" width="5.26953125" style="3" customWidth="1"/>
    <col min="7" max="7" width="7.90625" style="3" bestFit="1" customWidth="1"/>
    <col min="8" max="8" width="8.1796875" style="3" bestFit="1" customWidth="1"/>
    <col min="9" max="9" width="7.81640625" style="3" bestFit="1" customWidth="1"/>
    <col min="10" max="13" width="22.6328125" style="3" customWidth="1"/>
    <col min="14" max="16384" width="9.6328125" style="3"/>
  </cols>
  <sheetData>
    <row r="1" spans="1:13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70</v>
      </c>
      <c r="F1" s="4" t="s">
        <v>71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ht="72.5" x14ac:dyDescent="0.35">
      <c r="A2" s="5" t="s">
        <v>15</v>
      </c>
      <c r="B2" s="5" t="s">
        <v>16</v>
      </c>
      <c r="C2" s="5" t="s">
        <v>17</v>
      </c>
      <c r="D2" s="5" t="s">
        <v>16</v>
      </c>
      <c r="E2" s="5">
        <v>40</v>
      </c>
      <c r="F2" s="5">
        <v>60</v>
      </c>
      <c r="G2" s="5" t="s">
        <v>12</v>
      </c>
      <c r="H2" s="5" t="s">
        <v>13</v>
      </c>
      <c r="I2" s="5" t="s">
        <v>14</v>
      </c>
      <c r="J2" s="5" t="s">
        <v>58</v>
      </c>
      <c r="K2" s="5" t="s">
        <v>18</v>
      </c>
      <c r="L2" s="5" t="s">
        <v>19</v>
      </c>
      <c r="M2" s="5" t="s">
        <v>20</v>
      </c>
    </row>
    <row r="3" spans="1:13" ht="72.5" x14ac:dyDescent="0.35">
      <c r="A3" s="5" t="s">
        <v>21</v>
      </c>
      <c r="B3" s="5" t="s">
        <v>22</v>
      </c>
      <c r="C3" s="5" t="s">
        <v>11</v>
      </c>
      <c r="D3" s="5" t="s">
        <v>22</v>
      </c>
      <c r="E3" s="5">
        <v>40</v>
      </c>
      <c r="F3" s="5">
        <v>70</v>
      </c>
      <c r="G3" s="5" t="s">
        <v>12</v>
      </c>
      <c r="H3" s="5" t="s">
        <v>13</v>
      </c>
      <c r="I3" s="5" t="s">
        <v>14</v>
      </c>
      <c r="J3" s="5" t="s">
        <v>58</v>
      </c>
      <c r="K3" s="5" t="s">
        <v>23</v>
      </c>
      <c r="L3" s="5" t="s">
        <v>24</v>
      </c>
      <c r="M3" s="5" t="s">
        <v>25</v>
      </c>
    </row>
    <row r="4" spans="1:13" ht="72.5" x14ac:dyDescent="0.35">
      <c r="A4" s="5" t="s">
        <v>26</v>
      </c>
      <c r="B4" s="5" t="s">
        <v>27</v>
      </c>
      <c r="C4" s="5" t="s">
        <v>28</v>
      </c>
      <c r="D4" s="5" t="s">
        <v>27</v>
      </c>
      <c r="E4" s="5">
        <v>50</v>
      </c>
      <c r="F4" s="5">
        <v>90.6</v>
      </c>
      <c r="G4" s="5" t="s">
        <v>12</v>
      </c>
      <c r="H4" s="5" t="s">
        <v>13</v>
      </c>
      <c r="I4" s="5" t="s">
        <v>14</v>
      </c>
      <c r="J4" s="5" t="s">
        <v>58</v>
      </c>
      <c r="K4" s="5" t="s">
        <v>29</v>
      </c>
      <c r="L4" s="5" t="s">
        <v>30</v>
      </c>
      <c r="M4" s="5" t="s">
        <v>31</v>
      </c>
    </row>
    <row r="5" spans="1:13" ht="72.5" x14ac:dyDescent="0.35">
      <c r="A5" s="5" t="s">
        <v>32</v>
      </c>
      <c r="B5" s="5" t="s">
        <v>33</v>
      </c>
      <c r="C5" s="5" t="s">
        <v>11</v>
      </c>
      <c r="D5" s="5" t="s">
        <v>16</v>
      </c>
      <c r="E5" s="5">
        <v>30</v>
      </c>
      <c r="F5" s="5">
        <v>60</v>
      </c>
      <c r="G5" s="5" t="s">
        <v>12</v>
      </c>
      <c r="H5" s="5" t="s">
        <v>13</v>
      </c>
      <c r="I5" s="5" t="s">
        <v>14</v>
      </c>
      <c r="J5" s="5" t="s">
        <v>58</v>
      </c>
      <c r="K5" s="5" t="s">
        <v>37</v>
      </c>
      <c r="L5" s="5" t="s">
        <v>38</v>
      </c>
      <c r="M5" s="5" t="s">
        <v>39</v>
      </c>
    </row>
    <row r="6" spans="1:13" ht="116" x14ac:dyDescent="0.35">
      <c r="A6" s="5" t="s">
        <v>40</v>
      </c>
      <c r="B6" s="5" t="s">
        <v>41</v>
      </c>
      <c r="C6" s="5" t="s">
        <v>11</v>
      </c>
      <c r="D6" s="5" t="s">
        <v>41</v>
      </c>
      <c r="E6" s="5">
        <v>15</v>
      </c>
      <c r="F6" s="5">
        <v>35</v>
      </c>
      <c r="G6" s="5" t="s">
        <v>59</v>
      </c>
      <c r="H6" s="5" t="s">
        <v>60</v>
      </c>
      <c r="I6" s="5" t="s">
        <v>57</v>
      </c>
      <c r="J6" s="5" t="s">
        <v>61</v>
      </c>
      <c r="K6" s="5" t="s">
        <v>42</v>
      </c>
      <c r="L6" s="5" t="s">
        <v>43</v>
      </c>
      <c r="M6" s="5" t="s">
        <v>44</v>
      </c>
    </row>
    <row r="7" spans="1:13" ht="87" x14ac:dyDescent="0.35">
      <c r="A7" s="5" t="s">
        <v>45</v>
      </c>
      <c r="B7" s="5" t="s">
        <v>16</v>
      </c>
      <c r="C7" s="5" t="s">
        <v>11</v>
      </c>
      <c r="D7" s="5" t="s">
        <v>16</v>
      </c>
      <c r="E7" s="5">
        <v>30</v>
      </c>
      <c r="F7" s="5">
        <v>55</v>
      </c>
      <c r="G7" s="5" t="s">
        <v>34</v>
      </c>
      <c r="H7" s="5" t="s">
        <v>35</v>
      </c>
      <c r="I7" s="5" t="s">
        <v>36</v>
      </c>
      <c r="J7" s="5" t="s">
        <v>62</v>
      </c>
      <c r="K7" s="5" t="s">
        <v>46</v>
      </c>
      <c r="L7" s="5" t="s">
        <v>47</v>
      </c>
      <c r="M7" s="5" t="s">
        <v>48</v>
      </c>
    </row>
    <row r="8" spans="1:13" ht="58" x14ac:dyDescent="0.35">
      <c r="A8" s="5" t="s">
        <v>49</v>
      </c>
      <c r="B8" s="5" t="s">
        <v>16</v>
      </c>
      <c r="C8" s="5" t="s">
        <v>50</v>
      </c>
      <c r="D8" s="5" t="s">
        <v>16</v>
      </c>
      <c r="E8" s="5">
        <v>20</v>
      </c>
      <c r="F8" s="5">
        <v>40</v>
      </c>
      <c r="G8" s="5" t="s">
        <v>34</v>
      </c>
      <c r="H8" s="5" t="s">
        <v>35</v>
      </c>
      <c r="I8" s="5" t="s">
        <v>36</v>
      </c>
      <c r="J8" s="5" t="s">
        <v>62</v>
      </c>
      <c r="K8" s="5" t="s">
        <v>51</v>
      </c>
      <c r="L8" s="5" t="s">
        <v>52</v>
      </c>
      <c r="M8" s="5" t="s">
        <v>53</v>
      </c>
    </row>
    <row r="9" spans="1:13" ht="58" x14ac:dyDescent="0.35">
      <c r="A9" s="5" t="s">
        <v>63</v>
      </c>
      <c r="B9" s="5" t="s">
        <v>22</v>
      </c>
      <c r="C9" s="5" t="s">
        <v>28</v>
      </c>
      <c r="D9" s="5" t="s">
        <v>22</v>
      </c>
      <c r="E9" s="5">
        <v>60</v>
      </c>
      <c r="F9" s="5">
        <v>75</v>
      </c>
      <c r="G9" s="5" t="s">
        <v>12</v>
      </c>
      <c r="H9" s="5" t="s">
        <v>13</v>
      </c>
      <c r="I9" s="5" t="s">
        <v>14</v>
      </c>
      <c r="J9" s="5" t="s">
        <v>58</v>
      </c>
      <c r="K9" s="5" t="s">
        <v>64</v>
      </c>
      <c r="L9" s="5" t="s">
        <v>65</v>
      </c>
      <c r="M9" s="5" t="s">
        <v>66</v>
      </c>
    </row>
  </sheetData>
  <conditionalFormatting sqref="E2:E9">
    <cfRule type="dataBar" priority="1">
      <dataBar>
        <cfvo type="num" val="0"/>
        <cfvo type="num" val="100"/>
        <color rgb="FF63BE7B"/>
      </dataBar>
    </cfRule>
  </conditionalFormatting>
  <conditionalFormatting sqref="F2:F9">
    <cfRule type="dataBar" priority="2">
      <dataBar>
        <cfvo type="num" val="0"/>
        <cfvo type="num" val="100"/>
        <color rgb="FF63BE7B"/>
      </dataBar>
    </cfRule>
  </conditionalFormatting>
  <conditionalFormatting sqref="I2:I9">
    <cfRule type="cellIs" dxfId="4" priority="5" operator="equal">
      <formula>"High"</formula>
    </cfRule>
    <cfRule type="cellIs" dxfId="3" priority="6" operator="equal">
      <formula>"Medium"</formula>
    </cfRule>
    <cfRule type="cellIs" dxfId="2" priority="7" operator="equal">
      <formula>"Low"</formula>
    </cfRule>
  </conditionalFormatting>
  <conditionalFormatting sqref="H2:H9">
    <cfRule type="cellIs" dxfId="1" priority="8" operator="equal">
      <formula>"Behind"</formula>
    </cfRule>
    <cfRule type="cellIs" dxfId="0" priority="9" operator="equal">
      <formula>"Ahead"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rightToLeft="1" workbookViewId="0">
      <selection activeCell="C22" sqref="C22"/>
    </sheetView>
  </sheetViews>
  <sheetFormatPr defaultRowHeight="14.5" x14ac:dyDescent="0.35"/>
  <cols>
    <col min="1" max="1" width="47.81640625" bestFit="1" customWidth="1"/>
    <col min="2" max="2" width="10.7265625" bestFit="1" customWidth="1"/>
  </cols>
  <sheetData>
    <row r="1" spans="1:2" ht="18.5" x14ac:dyDescent="0.45">
      <c r="A1" s="1" t="s">
        <v>67</v>
      </c>
    </row>
    <row r="3" spans="1:2" x14ac:dyDescent="0.35">
      <c r="A3" t="s">
        <v>54</v>
      </c>
      <c r="B3">
        <f>COUNTA('Q2 بيانات'!#REF!)</f>
        <v>1</v>
      </c>
    </row>
    <row r="4" spans="1:2" x14ac:dyDescent="0.35">
      <c r="A4" t="s">
        <v>68</v>
      </c>
      <c r="B4">
        <f>AVERAGE('Q2 بيانات'!F2:F9)</f>
        <v>60.7</v>
      </c>
    </row>
    <row r="5" spans="1:2" x14ac:dyDescent="0.35">
      <c r="A5" t="s">
        <v>55</v>
      </c>
      <c r="B5">
        <f>COUNTIF('Q2 بيانات'!I2:I9,"High")</f>
        <v>1</v>
      </c>
    </row>
    <row r="8" spans="1:2" x14ac:dyDescent="0.35">
      <c r="A8" s="2" t="s">
        <v>0</v>
      </c>
      <c r="B8" s="2" t="s">
        <v>69</v>
      </c>
    </row>
    <row r="9" spans="1:2" x14ac:dyDescent="0.35">
      <c r="A9" t="str">
        <f>'Q2 بيانات'!A2</f>
        <v>تركيب وتشغيل اداة المحاكاة الافتراضية للبيانات</v>
      </c>
      <c r="B9">
        <f>'Q2 بيانات'!F2</f>
        <v>60</v>
      </c>
    </row>
    <row r="10" spans="1:2" x14ac:dyDescent="0.35">
      <c r="A10" t="str">
        <f>'Q2 بيانات'!A3</f>
        <v>مشروع توفير نظام للاختبارات الطارئة</v>
      </c>
      <c r="B10">
        <f>'Q2 بيانات'!F3</f>
        <v>70</v>
      </c>
    </row>
    <row r="11" spans="1:2" x14ac:dyDescent="0.35">
      <c r="A11" t="str">
        <f>'Q2 بيانات'!A4</f>
        <v>تطبيق مستقبلهم – الدعم الفني</v>
      </c>
      <c r="B11">
        <f>'Q2 بيانات'!F4</f>
        <v>90.6</v>
      </c>
    </row>
    <row r="12" spans="1:2" x14ac:dyDescent="0.35">
      <c r="A12" t="str">
        <f>'Q2 بيانات'!A5</f>
        <v>النظام المحدث لتطبيق الاختبارات الرقمية</v>
      </c>
      <c r="B12">
        <f>'Q2 بيانات'!F5</f>
        <v>60</v>
      </c>
    </row>
    <row r="13" spans="1:2" x14ac:dyDescent="0.35">
      <c r="A13" t="str">
        <f>'Q2 بيانات'!A6</f>
        <v>تأسيس وتنفيذ وتشغيل البنية المؤسسية في هيئة تقويم التعليم والتدريب</v>
      </c>
      <c r="B13">
        <f>'Q2 بيانات'!F6</f>
        <v>35</v>
      </c>
    </row>
    <row r="14" spans="1:2" x14ac:dyDescent="0.35">
      <c r="A14" t="str">
        <f>'Q2 بيانات'!A7</f>
        <v>مشروع البنية التحتية لنظام سطح المكتب الافتراضي VDI</v>
      </c>
      <c r="B14">
        <f>'Q2 بيانات'!F7</f>
        <v>55</v>
      </c>
    </row>
    <row r="15" spans="1:2" x14ac:dyDescent="0.35">
      <c r="A15" t="str">
        <f>'Q2 بيانات'!A8</f>
        <v>نظام الاعتماد</v>
      </c>
      <c r="B15">
        <f>'Q2 بيانات'!F8</f>
        <v>40</v>
      </c>
    </row>
    <row r="16" spans="1:2" x14ac:dyDescent="0.35">
      <c r="A16" t="str">
        <f>'Q2 بيانات'!A9</f>
        <v>نظام الاتصالات الإدارية</v>
      </c>
      <c r="B16">
        <f>'Q2 بيانات'!F9</f>
        <v>75</v>
      </c>
    </row>
    <row r="30" spans="1:2" x14ac:dyDescent="0.35">
      <c r="A30" s="2" t="s">
        <v>6</v>
      </c>
      <c r="B30" s="2" t="s">
        <v>56</v>
      </c>
    </row>
    <row r="31" spans="1:2" x14ac:dyDescent="0.35">
      <c r="A31" t="s">
        <v>57</v>
      </c>
      <c r="B31">
        <f>COUNTIF('Q2 بيانات'!I2:I9,"High")</f>
        <v>1</v>
      </c>
    </row>
    <row r="32" spans="1:2" x14ac:dyDescent="0.35">
      <c r="A32" t="s">
        <v>36</v>
      </c>
      <c r="B32">
        <f>COUNTIF('Q2 بيانات'!I2:I9,"Medium")</f>
        <v>2</v>
      </c>
    </row>
    <row r="33" spans="1:2" x14ac:dyDescent="0.35">
      <c r="A33" t="s">
        <v>14</v>
      </c>
      <c r="B33">
        <f>COUNTIF('Q2 بيانات'!I2:I9,"Low")</f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بيانات</vt:lpstr>
      <vt:lpstr>لوحة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2025-12-06T23:12:37Z</dcterms:created>
  <dcterms:modified xsi:type="dcterms:W3CDTF">2025-12-07T00:06:11Z</dcterms:modified>
</cp:coreProperties>
</file>