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Ahmed\Local\IMPORTANT\RMG\ETEC\"/>
    </mc:Choice>
  </mc:AlternateContent>
  <xr:revisionPtr revIDLastSave="0" documentId="13_ncr:1_{7E303D7A-A8DF-4385-973B-C07196AB7D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4 بيانات" sheetId="7" r:id="rId1"/>
    <sheet name="لوحة Q4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8" l="1"/>
  <c r="B32" i="8"/>
  <c r="B31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5" i="8"/>
  <c r="B4" i="8"/>
  <c r="B3" i="8"/>
</calcChain>
</file>

<file path=xl/sharedStrings.xml><?xml version="1.0" encoding="utf-8"?>
<sst xmlns="http://schemas.openxmlformats.org/spreadsheetml/2006/main" count="103" uniqueCount="67">
  <si>
    <t>اسم المشروع</t>
  </si>
  <si>
    <t>بداية مخططة</t>
  </si>
  <si>
    <t>نهاية مخططة</t>
  </si>
  <si>
    <t>بداية فعلية</t>
  </si>
  <si>
    <t>الحالة في نهاية الربع</t>
  </si>
  <si>
    <t>الانحراف</t>
  </si>
  <si>
    <t>مستوى المخاطر</t>
  </si>
  <si>
    <t>ملاحظات</t>
  </si>
  <si>
    <t>تحديات من تقارير PMO</t>
  </si>
  <si>
    <t>تحليل ممارسة البنية المؤسسية</t>
  </si>
  <si>
    <t>توصية ممارسة البنية المؤسسية</t>
  </si>
  <si>
    <t>Q4 2025</t>
  </si>
  <si>
    <t>Low</t>
  </si>
  <si>
    <t>Q4 2024</t>
  </si>
  <si>
    <t>Q3 2025</t>
  </si>
  <si>
    <t>Q1 2024</t>
  </si>
  <si>
    <t>تطبيق مستقبلهم – الدعم الفني</t>
  </si>
  <si>
    <t>Q2 2024</t>
  </si>
  <si>
    <t>Q2 2025</t>
  </si>
  <si>
    <t>تغييرات متكررة على تقارير أولياء الأمور وتأخر اعتماد النسخة النهائية من أصحاب المصلحة.</t>
  </si>
  <si>
    <t>التطبيق يمثل قناة رئيسية لتواصل الهيئة مع الطلاب وأولياء الأمور ويؤثر مباشرة على تجربة المستفيد.</t>
  </si>
  <si>
    <t>تفعيل حوكمة إدارة المتطلبات وتثبيت إصدارات واضحة للتطبيق مع دورات تحسين أسرع وأخف.</t>
  </si>
  <si>
    <t>حسب المخطط</t>
  </si>
  <si>
    <t>On Track</t>
  </si>
  <si>
    <t>Medium</t>
  </si>
  <si>
    <t>Q1 2025</t>
  </si>
  <si>
    <t>نظام الاعتماد</t>
  </si>
  <si>
    <t>Q4 2026</t>
  </si>
  <si>
    <t>تعقيد الرحلات والإجراءات بين مراكز الهيئة وتنوع المتطلبات لكل نوع من الاعتماد.</t>
  </si>
  <si>
    <t>نظام الاعتماد هو القلب التشغيلي لأعمال الهيئة ويجب أن يعكس النماذج المرجعية للاعتماد.</t>
  </si>
  <si>
    <t>نمذجة Journey كاملة لرحلة الاعتماد وربطها بنماذج بيانات موحدة وإجراءات رقمية معيارية.</t>
  </si>
  <si>
    <t>إجمالي عدد المشاريع في هذا الربع</t>
  </si>
  <si>
    <t>عدد المشاريع عالية المخاطر في هذا الربع</t>
  </si>
  <si>
    <t>عدد المشاريع</t>
  </si>
  <si>
    <t>High</t>
  </si>
  <si>
    <t>متأخر</t>
  </si>
  <si>
    <t>Behind</t>
  </si>
  <si>
    <t>نظام الاتصالات الإدارية</t>
  </si>
  <si>
    <t>تأخر مركز الوثائق والمحفوظات في اعتماد الوضع الراهن والمقترح وحصر الأعمال.</t>
  </si>
  <si>
    <t>النظام جزء أساسي من دورة حياة الوثائق والتراسل الداخلي، ويؤثر على الشفافية وسرعة الإنجاز.</t>
  </si>
  <si>
    <t>ربط نظام الاتصالات الإدارية مع تصنيف الوثائق وأرشفتها رقمياً وإدخال نماذج موحدة للإجراءات.</t>
  </si>
  <si>
    <t>النظام الشامل للاختبارات</t>
  </si>
  <si>
    <t>تجميع أنظمة الاختبارات المتعددة في منصة شاملة مع المحافظة على الاستقرار والموروث.</t>
  </si>
  <si>
    <t>النظام الشامل للاختبارات يمثل منصة تكاملية تربط المنصات المتعددة في منظومة موحدة.</t>
  </si>
  <si>
    <t>إعداد Reference Architecture لمنظومة الاختبارات الشاملة وربط جميع المشاريع الحالية بها تدريجياً.</t>
  </si>
  <si>
    <t>المنصة الرقمية لمؤسسات التعليم والتدريب</t>
  </si>
  <si>
    <t>تأخر اعتماد بعض متطلبات المراكز وتعدد الجهات المشاركة في تصميم الخدمات.</t>
  </si>
  <si>
    <t>المنصة تمثل واجهة رئيسية لمؤسسات التعليم والتدريب وتوحد الخدمات المقدمة لهم.</t>
  </si>
  <si>
    <t>استخدام نموذج قدرات أعمال للمؤسسات التعليمية وربط كل خدمة على المنصة بالقدرات والمخرجات المتوقعة.</t>
  </si>
  <si>
    <t>ألف ياء للذكاء</t>
  </si>
  <si>
    <t>عدم وضوح حدود نطاق استخدام المنصة بين التحليل التشغيلي والتجريب الابتكاري.</t>
  </si>
  <si>
    <t>المنصة تمثل Capability في مجال الذكاء الاصطناعي وتحليل البيانات ويمكن أن تدعم مشاريع متعددة.</t>
  </si>
  <si>
    <t>تعريف Use Cases أولوية لاستخدام المنصة وربطها بمؤشرات أداء واضحة وقابلة للقياس.</t>
  </si>
  <si>
    <t>تقدم قريب من الخطة في نهاية الربع 4.</t>
  </si>
  <si>
    <t>تقدم أقل من المخطط في نهاية الربع 4.</t>
  </si>
  <si>
    <t>تطوير نظامي إدارة استكشاف الأصول التقنية والأجهزة الطرفية</t>
  </si>
  <si>
    <t>Q4 2028</t>
  </si>
  <si>
    <t>الحاجة لدمج مصادر بيانات متعددة للأصول مع أنظمة المراقبة والشبكات.</t>
  </si>
  <si>
    <t>المشروع يساعد على رفع نضج إدارة الأصول التقنية ويسهم في حوكمة التكوينات والأمان.</t>
  </si>
  <si>
    <t>مواءمة التصميم مع CMDB مؤسسي وربط الأصول بدورة حياتها وخطط التحديث والصيانة.</t>
  </si>
  <si>
    <t>لوحة متابعة الربع Q4</t>
  </si>
  <si>
    <t>متوسط التقدم في الربع Q4</t>
  </si>
  <si>
    <t>تقدم الربع Q4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</si>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</sst>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نسب التقدم في الربع </a:t>
            </a:r>
            <a:r>
              <a:rPr lang="en-US"/>
              <a:t>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'لوحة Q4'!$B$8</c:f>
              <c:strCache>
                <c:ptCount val="1"/>
                <c:pt idx="0">
                  <c:v>تقدم الربع Q4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'لوحة Q4'!$A$9:$A$15</c:f>
              <c:strCache>
                <c:ptCount val="7"/>
                <c:pt idx="0">
                  <c:v>تطبيق مستقبلهم – الدعم الفني</c:v>
                </c:pt>
                <c:pt idx="1">
                  <c:v>النظام الشامل للاختبارات</c:v>
                </c:pt>
                <c:pt idx="2">
                  <c:v>نظام الاعتماد</c:v>
                </c:pt>
                <c:pt idx="3">
                  <c:v>المنصة الرقمية لمؤسسات التعليم والتدريب</c:v>
                </c:pt>
                <c:pt idx="4">
                  <c:v>نظام الاتصالات الإدارية</c:v>
                </c:pt>
                <c:pt idx="5">
                  <c:v>ألف ياء للذكاء</c:v>
                </c:pt>
                <c:pt idx="6">
                  <c:v>تطوير نظامي إدارة استكشاف الأصول التقنية والأجهزة الطرفية</c:v>
                </c:pt>
              </c:strCache>
            </c:strRef>
          </c:cat>
          <c:val>
            <c:numRef>
              <c:f>'لوحة Q4'!$B$9:$B$15</c:f>
              <c:numCache>
                <c:formatCode>General</c:formatCode>
                <c:ptCount val="7"/>
                <c:pt idx="0">
                  <c:v>90.6</c:v>
                </c:pt>
                <c:pt idx="1">
                  <c:v>75</c:v>
                </c:pt>
                <c:pt idx="2">
                  <c:v>85</c:v>
                </c:pt>
                <c:pt idx="3">
                  <c:v>90</c:v>
                </c:pt>
                <c:pt idx="4">
                  <c:v>100</c:v>
                </c:pt>
                <c:pt idx="5">
                  <c:v>60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D-46BC-8863-789C4BD25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المشروعات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النسبة المئوية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توزيع مستويات المخاطر - الربع </a:t>
            </a:r>
            <a:r>
              <a:rPr lang="en-US"/>
              <a:t>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'لوحة Q4'!$B$30</c:f>
              <c:strCache>
                <c:ptCount val="1"/>
                <c:pt idx="0">
                  <c:v>عدد المشاريع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'لوحة Q4'!$A$31:$A$33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'لوحة Q4'!$B$31:$B$33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8-4BD6-9D48-3540BE7AA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292100</xdr:colOff>
      <xdr:row>1</xdr:row>
      <xdr:rowOff>0</xdr:rowOff>
    </xdr:from>
    <xdr:ext cx="615315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"/>
  <sheetViews>
    <sheetView rightToLeft="1" tabSelected="1" workbookViewId="0">
      <selection sqref="A1:O8"/>
    </sheetView>
  </sheetViews>
  <sheetFormatPr defaultColWidth="9.1796875" defaultRowHeight="14.5" x14ac:dyDescent="0.35"/>
  <cols>
    <col min="1" max="1" width="18.6328125" style="3" customWidth="1"/>
    <col min="2" max="3" width="7.6328125" style="3" bestFit="1" customWidth="1"/>
    <col min="4" max="8" width="8.36328125" style="3" bestFit="1" customWidth="1"/>
    <col min="9" max="9" width="7.81640625" style="3" bestFit="1" customWidth="1"/>
    <col min="10" max="10" width="8.1796875" style="3" bestFit="1" customWidth="1"/>
    <col min="11" max="11" width="7.81640625" style="3" bestFit="1" customWidth="1"/>
    <col min="12" max="12" width="11.7265625" style="3" customWidth="1"/>
    <col min="13" max="15" width="18.36328125" style="3" customWidth="1"/>
    <col min="16" max="16384" width="9.1796875" style="3"/>
  </cols>
  <sheetData>
    <row r="1" spans="1:15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ht="116" x14ac:dyDescent="0.35">
      <c r="A2" s="5" t="s">
        <v>16</v>
      </c>
      <c r="B2" s="5" t="s">
        <v>17</v>
      </c>
      <c r="C2" s="5" t="s">
        <v>18</v>
      </c>
      <c r="D2" s="5" t="s">
        <v>17</v>
      </c>
      <c r="E2" s="5">
        <v>50</v>
      </c>
      <c r="F2" s="5">
        <v>90.6</v>
      </c>
      <c r="G2" s="5">
        <v>90.6</v>
      </c>
      <c r="H2" s="5">
        <v>90.6</v>
      </c>
      <c r="I2" s="5" t="s">
        <v>22</v>
      </c>
      <c r="J2" s="5" t="s">
        <v>23</v>
      </c>
      <c r="K2" s="5" t="s">
        <v>24</v>
      </c>
      <c r="L2" s="5" t="s">
        <v>53</v>
      </c>
      <c r="M2" s="5" t="s">
        <v>19</v>
      </c>
      <c r="N2" s="5" t="s">
        <v>20</v>
      </c>
      <c r="O2" s="5" t="s">
        <v>21</v>
      </c>
    </row>
    <row r="3" spans="1:15" ht="130.5" x14ac:dyDescent="0.35">
      <c r="A3" s="5" t="s">
        <v>41</v>
      </c>
      <c r="B3" s="5" t="s">
        <v>25</v>
      </c>
      <c r="C3" s="5" t="s">
        <v>27</v>
      </c>
      <c r="D3" s="5" t="s">
        <v>18</v>
      </c>
      <c r="E3" s="5">
        <v>0</v>
      </c>
      <c r="F3" s="5">
        <v>10</v>
      </c>
      <c r="G3" s="5">
        <v>40</v>
      </c>
      <c r="H3" s="5">
        <v>75</v>
      </c>
      <c r="I3" s="5" t="s">
        <v>35</v>
      </c>
      <c r="J3" s="5" t="s">
        <v>36</v>
      </c>
      <c r="K3" s="5" t="s">
        <v>34</v>
      </c>
      <c r="L3" s="5" t="s">
        <v>54</v>
      </c>
      <c r="M3" s="5" t="s">
        <v>42</v>
      </c>
      <c r="N3" s="5" t="s">
        <v>43</v>
      </c>
      <c r="O3" s="5" t="s">
        <v>44</v>
      </c>
    </row>
    <row r="4" spans="1:15" ht="116" x14ac:dyDescent="0.35">
      <c r="A4" s="5" t="s">
        <v>26</v>
      </c>
      <c r="B4" s="5" t="s">
        <v>13</v>
      </c>
      <c r="C4" s="5" t="s">
        <v>27</v>
      </c>
      <c r="D4" s="5" t="s">
        <v>13</v>
      </c>
      <c r="E4" s="5">
        <v>20</v>
      </c>
      <c r="F4" s="5">
        <v>40</v>
      </c>
      <c r="G4" s="5">
        <v>65</v>
      </c>
      <c r="H4" s="5">
        <v>85</v>
      </c>
      <c r="I4" s="5" t="s">
        <v>35</v>
      </c>
      <c r="J4" s="5" t="s">
        <v>36</v>
      </c>
      <c r="K4" s="5" t="s">
        <v>34</v>
      </c>
      <c r="L4" s="5" t="s">
        <v>54</v>
      </c>
      <c r="M4" s="5" t="s">
        <v>28</v>
      </c>
      <c r="N4" s="5" t="s">
        <v>29</v>
      </c>
      <c r="O4" s="5" t="s">
        <v>30</v>
      </c>
    </row>
    <row r="5" spans="1:15" ht="130.5" x14ac:dyDescent="0.35">
      <c r="A5" s="5" t="s">
        <v>45</v>
      </c>
      <c r="B5" s="5" t="s">
        <v>25</v>
      </c>
      <c r="C5" s="5" t="s">
        <v>11</v>
      </c>
      <c r="D5" s="5" t="s">
        <v>25</v>
      </c>
      <c r="E5" s="5">
        <v>10</v>
      </c>
      <c r="F5" s="5">
        <v>30</v>
      </c>
      <c r="G5" s="5">
        <v>80</v>
      </c>
      <c r="H5" s="5">
        <v>90</v>
      </c>
      <c r="I5" s="5" t="s">
        <v>22</v>
      </c>
      <c r="J5" s="5" t="s">
        <v>23</v>
      </c>
      <c r="K5" s="5" t="s">
        <v>24</v>
      </c>
      <c r="L5" s="5" t="s">
        <v>53</v>
      </c>
      <c r="M5" s="5" t="s">
        <v>46</v>
      </c>
      <c r="N5" s="5" t="s">
        <v>47</v>
      </c>
      <c r="O5" s="5" t="s">
        <v>48</v>
      </c>
    </row>
    <row r="6" spans="1:15" ht="116" x14ac:dyDescent="0.35">
      <c r="A6" s="5" t="s">
        <v>37</v>
      </c>
      <c r="B6" s="5" t="s">
        <v>15</v>
      </c>
      <c r="C6" s="5" t="s">
        <v>18</v>
      </c>
      <c r="D6" s="5" t="s">
        <v>15</v>
      </c>
      <c r="E6" s="5">
        <v>60</v>
      </c>
      <c r="F6" s="5">
        <v>75</v>
      </c>
      <c r="G6" s="5">
        <v>100</v>
      </c>
      <c r="H6" s="5">
        <v>100</v>
      </c>
      <c r="I6" s="5" t="s">
        <v>22</v>
      </c>
      <c r="J6" s="5" t="s">
        <v>23</v>
      </c>
      <c r="K6" s="5" t="s">
        <v>24</v>
      </c>
      <c r="L6" s="5" t="s">
        <v>53</v>
      </c>
      <c r="M6" s="5" t="s">
        <v>38</v>
      </c>
      <c r="N6" s="5" t="s">
        <v>39</v>
      </c>
      <c r="O6" s="5" t="s">
        <v>40</v>
      </c>
    </row>
    <row r="7" spans="1:15" ht="116" x14ac:dyDescent="0.35">
      <c r="A7" s="5" t="s">
        <v>49</v>
      </c>
      <c r="B7" s="5" t="s">
        <v>14</v>
      </c>
      <c r="C7" s="5" t="s">
        <v>27</v>
      </c>
      <c r="D7" s="5" t="s">
        <v>14</v>
      </c>
      <c r="E7" s="5">
        <v>0</v>
      </c>
      <c r="F7" s="5">
        <v>0</v>
      </c>
      <c r="G7" s="5">
        <v>30</v>
      </c>
      <c r="H7" s="5">
        <v>60</v>
      </c>
      <c r="I7" s="5" t="s">
        <v>35</v>
      </c>
      <c r="J7" s="5" t="s">
        <v>36</v>
      </c>
      <c r="K7" s="5" t="s">
        <v>34</v>
      </c>
      <c r="L7" s="5" t="s">
        <v>54</v>
      </c>
      <c r="M7" s="5" t="s">
        <v>50</v>
      </c>
      <c r="N7" s="5" t="s">
        <v>51</v>
      </c>
      <c r="O7" s="5" t="s">
        <v>52</v>
      </c>
    </row>
    <row r="8" spans="1:15" ht="101.5" x14ac:dyDescent="0.35">
      <c r="A8" s="5" t="s">
        <v>55</v>
      </c>
      <c r="B8" s="5" t="s">
        <v>14</v>
      </c>
      <c r="C8" s="5" t="s">
        <v>56</v>
      </c>
      <c r="D8" s="5" t="s">
        <v>11</v>
      </c>
      <c r="E8" s="5">
        <v>0</v>
      </c>
      <c r="F8" s="5">
        <v>0</v>
      </c>
      <c r="G8" s="5">
        <v>10</v>
      </c>
      <c r="H8" s="5">
        <v>20</v>
      </c>
      <c r="I8" s="5" t="s">
        <v>35</v>
      </c>
      <c r="J8" s="5" t="s">
        <v>36</v>
      </c>
      <c r="K8" s="5" t="s">
        <v>34</v>
      </c>
      <c r="L8" s="5" t="s">
        <v>54</v>
      </c>
      <c r="M8" s="5" t="s">
        <v>57</v>
      </c>
      <c r="N8" s="5" t="s">
        <v>58</v>
      </c>
      <c r="O8" s="5" t="s">
        <v>59</v>
      </c>
    </row>
  </sheetData>
  <conditionalFormatting sqref="E2:E8">
    <cfRule type="dataBar" priority="1">
      <dataBar>
        <cfvo type="num" val="0"/>
        <cfvo type="num" val="100"/>
        <color rgb="FF63BE7B"/>
      </dataBar>
    </cfRule>
  </conditionalFormatting>
  <conditionalFormatting sqref="F2:F8">
    <cfRule type="dataBar" priority="2">
      <dataBar>
        <cfvo type="num" val="0"/>
        <cfvo type="num" val="100"/>
        <color rgb="FF63BE7B"/>
      </dataBar>
    </cfRule>
  </conditionalFormatting>
  <conditionalFormatting sqref="G2:G8">
    <cfRule type="dataBar" priority="3">
      <dataBar>
        <cfvo type="num" val="0"/>
        <cfvo type="num" val="100"/>
        <color rgb="FF63BE7B"/>
      </dataBar>
    </cfRule>
  </conditionalFormatting>
  <conditionalFormatting sqref="H2:H8">
    <cfRule type="dataBar" priority="4">
      <dataBar>
        <cfvo type="num" val="0"/>
        <cfvo type="num" val="100"/>
        <color rgb="FF63BE7B"/>
      </dataBar>
    </cfRule>
  </conditionalFormatting>
  <conditionalFormatting sqref="K2:K8">
    <cfRule type="cellIs" dxfId="4" priority="5" operator="equal">
      <formula>"High"</formula>
    </cfRule>
    <cfRule type="cellIs" dxfId="3" priority="6" operator="equal">
      <formula>"Medium"</formula>
    </cfRule>
    <cfRule type="cellIs" dxfId="2" priority="7" operator="equal">
      <formula>"Low"</formula>
    </cfRule>
  </conditionalFormatting>
  <conditionalFormatting sqref="J2:J8">
    <cfRule type="cellIs" dxfId="1" priority="8" operator="equal">
      <formula>"Behind"</formula>
    </cfRule>
    <cfRule type="cellIs" dxfId="0" priority="9" operator="equal">
      <formula>"Ahead"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3"/>
  <sheetViews>
    <sheetView rightToLeft="1" workbookViewId="0">
      <selection sqref="A1:XFD1048576"/>
    </sheetView>
  </sheetViews>
  <sheetFormatPr defaultRowHeight="14.5" x14ac:dyDescent="0.35"/>
  <cols>
    <col min="1" max="1" width="40.90625" bestFit="1" customWidth="1"/>
    <col min="2" max="2" width="11.81640625" bestFit="1" customWidth="1"/>
  </cols>
  <sheetData>
    <row r="1" spans="1:2" ht="18.5" x14ac:dyDescent="0.45">
      <c r="A1" s="1" t="s">
        <v>60</v>
      </c>
    </row>
    <row r="3" spans="1:2" x14ac:dyDescent="0.35">
      <c r="A3" t="s">
        <v>31</v>
      </c>
      <c r="B3">
        <f>COUNTA('Q4 بيانات'!#REF!)</f>
        <v>1</v>
      </c>
    </row>
    <row r="4" spans="1:2" x14ac:dyDescent="0.35">
      <c r="A4" t="s">
        <v>61</v>
      </c>
      <c r="B4">
        <f>AVERAGE('Q4 بيانات'!H2:H8)</f>
        <v>74.371428571428581</v>
      </c>
    </row>
    <row r="5" spans="1:2" x14ac:dyDescent="0.35">
      <c r="A5" t="s">
        <v>32</v>
      </c>
      <c r="B5">
        <f>COUNTIF('Q4 بيانات'!K2:K8,"High")</f>
        <v>4</v>
      </c>
    </row>
    <row r="8" spans="1:2" x14ac:dyDescent="0.35">
      <c r="A8" s="2" t="s">
        <v>0</v>
      </c>
      <c r="B8" s="2" t="s">
        <v>62</v>
      </c>
    </row>
    <row r="9" spans="1:2" x14ac:dyDescent="0.35">
      <c r="A9" t="str">
        <f>'Q4 بيانات'!A2</f>
        <v>تطبيق مستقبلهم – الدعم الفني</v>
      </c>
      <c r="B9">
        <f>'Q4 بيانات'!H2</f>
        <v>90.6</v>
      </c>
    </row>
    <row r="10" spans="1:2" x14ac:dyDescent="0.35">
      <c r="A10" t="str">
        <f>'Q4 بيانات'!A3</f>
        <v>النظام الشامل للاختبارات</v>
      </c>
      <c r="B10">
        <f>'Q4 بيانات'!H3</f>
        <v>75</v>
      </c>
    </row>
    <row r="11" spans="1:2" x14ac:dyDescent="0.35">
      <c r="A11" t="str">
        <f>'Q4 بيانات'!A4</f>
        <v>نظام الاعتماد</v>
      </c>
      <c r="B11">
        <f>'Q4 بيانات'!H4</f>
        <v>85</v>
      </c>
    </row>
    <row r="12" spans="1:2" x14ac:dyDescent="0.35">
      <c r="A12" t="str">
        <f>'Q4 بيانات'!A5</f>
        <v>المنصة الرقمية لمؤسسات التعليم والتدريب</v>
      </c>
      <c r="B12">
        <f>'Q4 بيانات'!H5</f>
        <v>90</v>
      </c>
    </row>
    <row r="13" spans="1:2" x14ac:dyDescent="0.35">
      <c r="A13" t="str">
        <f>'Q4 بيانات'!A6</f>
        <v>نظام الاتصالات الإدارية</v>
      </c>
      <c r="B13">
        <f>'Q4 بيانات'!H6</f>
        <v>100</v>
      </c>
    </row>
    <row r="14" spans="1:2" x14ac:dyDescent="0.35">
      <c r="A14" t="str">
        <f>'Q4 بيانات'!A7</f>
        <v>ألف ياء للذكاء</v>
      </c>
      <c r="B14">
        <f>'Q4 بيانات'!H7</f>
        <v>60</v>
      </c>
    </row>
    <row r="15" spans="1:2" x14ac:dyDescent="0.35">
      <c r="A15" t="str">
        <f>'Q4 بيانات'!A8</f>
        <v>تطوير نظامي إدارة استكشاف الأصول التقنية والأجهزة الطرفية</v>
      </c>
      <c r="B15">
        <f>'Q4 بيانات'!H8</f>
        <v>20</v>
      </c>
    </row>
    <row r="30" spans="1:2" x14ac:dyDescent="0.35">
      <c r="A30" s="2" t="s">
        <v>6</v>
      </c>
      <c r="B30" s="2" t="s">
        <v>33</v>
      </c>
    </row>
    <row r="31" spans="1:2" x14ac:dyDescent="0.35">
      <c r="A31" t="s">
        <v>34</v>
      </c>
      <c r="B31">
        <f>COUNTIF('Q4 بيانات'!K2:K8,"High")</f>
        <v>4</v>
      </c>
    </row>
    <row r="32" spans="1:2" x14ac:dyDescent="0.35">
      <c r="A32" t="s">
        <v>24</v>
      </c>
      <c r="B32">
        <f>COUNTIF('Q4 بيانات'!K2:K8,"Medium")</f>
        <v>3</v>
      </c>
    </row>
    <row r="33" spans="1:2" x14ac:dyDescent="0.35">
      <c r="A33" t="s">
        <v>12</v>
      </c>
      <c r="B33">
        <f>COUNTIF('Q4 بيانات'!K2:K8,"Low")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Q4 بيانات</vt:lpstr>
      <vt:lpstr>لوحة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2025-12-06T23:12:37Z</dcterms:created>
  <dcterms:modified xsi:type="dcterms:W3CDTF">2025-12-07T00:08:50Z</dcterms:modified>
</cp:coreProperties>
</file>